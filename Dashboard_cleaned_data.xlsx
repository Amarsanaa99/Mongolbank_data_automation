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y Materials\ML_code\"/>
    </mc:Choice>
  </mc:AlternateContent>
  <xr:revisionPtr revIDLastSave="0" documentId="13_ncr:1_{D7F51D84-A483-44CB-9FC9-4024393A418E}" xr6:coauthVersionLast="47" xr6:coauthVersionMax="47" xr10:uidLastSave="{00000000-0000-0000-0000-000000000000}"/>
  <bookViews>
    <workbookView xWindow="-96" yWindow="0" windowWidth="11712" windowHeight="13776" xr2:uid="{0FBC0C14-BD1E-4038-B9A5-0A1574011BCF}"/>
  </bookViews>
  <sheets>
    <sheet name="Month" sheetId="1" r:id="rId1"/>
    <sheet name="Quar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5" i="2" l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B10" i="2"/>
  <c r="B14" i="2" s="1"/>
  <c r="B18" i="2" s="1"/>
  <c r="B22" i="2" s="1"/>
  <c r="B26" i="2" s="1"/>
  <c r="B30" i="2" s="1"/>
  <c r="B34" i="2" s="1"/>
  <c r="B38" i="2" s="1"/>
  <c r="B42" i="2" s="1"/>
  <c r="B46" i="2" s="1"/>
  <c r="B50" i="2" s="1"/>
  <c r="B54" i="2" s="1"/>
  <c r="B58" i="2" s="1"/>
  <c r="B62" i="2" s="1"/>
  <c r="B66" i="2" s="1"/>
  <c r="B70" i="2" s="1"/>
  <c r="B74" i="2" s="1"/>
  <c r="B78" i="2" s="1"/>
  <c r="B82" i="2" s="1"/>
  <c r="B86" i="2" s="1"/>
  <c r="B90" i="2" s="1"/>
  <c r="B94" i="2" s="1"/>
  <c r="B98" i="2" s="1"/>
  <c r="B102" i="2" s="1"/>
  <c r="B106" i="2" s="1"/>
  <c r="B9" i="2"/>
  <c r="B13" i="2" s="1"/>
  <c r="B17" i="2" s="1"/>
  <c r="B21" i="2" s="1"/>
  <c r="B25" i="2" s="1"/>
  <c r="B29" i="2" s="1"/>
  <c r="B33" i="2" s="1"/>
  <c r="B37" i="2" s="1"/>
  <c r="B41" i="2" s="1"/>
  <c r="B45" i="2" s="1"/>
  <c r="B49" i="2" s="1"/>
  <c r="B53" i="2" s="1"/>
  <c r="B57" i="2" s="1"/>
  <c r="B61" i="2" s="1"/>
  <c r="B65" i="2" s="1"/>
  <c r="B69" i="2" s="1"/>
  <c r="B73" i="2" s="1"/>
  <c r="B77" i="2" s="1"/>
  <c r="B81" i="2" s="1"/>
  <c r="B85" i="2" s="1"/>
  <c r="B89" i="2" s="1"/>
  <c r="B93" i="2" s="1"/>
  <c r="B97" i="2" s="1"/>
  <c r="B101" i="2" s="1"/>
  <c r="B105" i="2" s="1"/>
  <c r="B8" i="2"/>
  <c r="B12" i="2" s="1"/>
  <c r="B16" i="2" s="1"/>
  <c r="B20" i="2" s="1"/>
  <c r="B24" i="2" s="1"/>
  <c r="B28" i="2" s="1"/>
  <c r="B32" i="2" s="1"/>
  <c r="B36" i="2" s="1"/>
  <c r="B40" i="2" s="1"/>
  <c r="B44" i="2" s="1"/>
  <c r="B48" i="2" s="1"/>
  <c r="B52" i="2" s="1"/>
  <c r="B56" i="2" s="1"/>
  <c r="B60" i="2" s="1"/>
  <c r="B64" i="2" s="1"/>
  <c r="B68" i="2" s="1"/>
  <c r="B72" i="2" s="1"/>
  <c r="B76" i="2" s="1"/>
  <c r="B80" i="2" s="1"/>
  <c r="B84" i="2" s="1"/>
  <c r="B88" i="2" s="1"/>
  <c r="B92" i="2" s="1"/>
  <c r="B96" i="2" s="1"/>
  <c r="B100" i="2" s="1"/>
  <c r="B104" i="2" s="1"/>
  <c r="B7" i="2"/>
  <c r="B11" i="2" s="1"/>
  <c r="B15" i="2" s="1"/>
  <c r="B19" i="2" s="1"/>
  <c r="B23" i="2" s="1"/>
  <c r="B27" i="2" s="1"/>
  <c r="B31" i="2" s="1"/>
  <c r="B35" i="2" s="1"/>
  <c r="B39" i="2" s="1"/>
  <c r="B43" i="2" s="1"/>
  <c r="B47" i="2" s="1"/>
  <c r="B51" i="2" s="1"/>
  <c r="B55" i="2" s="1"/>
  <c r="B59" i="2" s="1"/>
  <c r="B63" i="2" s="1"/>
  <c r="B67" i="2" s="1"/>
  <c r="B71" i="2" s="1"/>
  <c r="B75" i="2" s="1"/>
  <c r="B79" i="2" s="1"/>
  <c r="B83" i="2" s="1"/>
  <c r="B87" i="2" s="1"/>
  <c r="B91" i="2" s="1"/>
  <c r="B95" i="2" s="1"/>
  <c r="B99" i="2" s="1"/>
  <c r="B103" i="2" s="1"/>
  <c r="A7" i="2"/>
  <c r="A11" i="2" s="1"/>
  <c r="A15" i="2" s="1"/>
  <c r="A19" i="2" s="1"/>
  <c r="A23" i="2" s="1"/>
  <c r="A27" i="2" s="1"/>
  <c r="A31" i="2" s="1"/>
  <c r="A35" i="2" s="1"/>
  <c r="A39" i="2" s="1"/>
  <c r="A43" i="2" s="1"/>
  <c r="A47" i="2" s="1"/>
  <c r="A51" i="2" s="1"/>
  <c r="A55" i="2" s="1"/>
  <c r="A59" i="2" s="1"/>
  <c r="A63" i="2" s="1"/>
  <c r="A67" i="2" s="1"/>
  <c r="A71" i="2" s="1"/>
  <c r="A75" i="2" s="1"/>
  <c r="A79" i="2" s="1"/>
  <c r="A83" i="2" s="1"/>
  <c r="A87" i="2" s="1"/>
  <c r="A91" i="2" s="1"/>
  <c r="A95" i="2" s="1"/>
  <c r="A99" i="2" s="1"/>
  <c r="A103" i="2" s="1"/>
  <c r="B15" i="1"/>
  <c r="B27" i="1" s="1"/>
  <c r="B39" i="1" s="1"/>
  <c r="B51" i="1" s="1"/>
  <c r="B63" i="1" s="1"/>
  <c r="B75" i="1" s="1"/>
  <c r="B87" i="1" s="1"/>
  <c r="B99" i="1" s="1"/>
  <c r="B111" i="1" s="1"/>
  <c r="B123" i="1" s="1"/>
  <c r="B135" i="1" s="1"/>
  <c r="B147" i="1" s="1"/>
  <c r="B159" i="1" s="1"/>
  <c r="B171" i="1" s="1"/>
  <c r="B183" i="1" s="1"/>
  <c r="B195" i="1" s="1"/>
  <c r="B207" i="1" s="1"/>
  <c r="B219" i="1" s="1"/>
  <c r="B231" i="1" s="1"/>
  <c r="B243" i="1" s="1"/>
  <c r="B255" i="1" s="1"/>
  <c r="B267" i="1" s="1"/>
  <c r="B279" i="1" s="1"/>
  <c r="B291" i="1" s="1"/>
  <c r="B303" i="1" s="1"/>
  <c r="A15" i="1"/>
  <c r="A27" i="1" s="1"/>
  <c r="A39" i="1" s="1"/>
  <c r="A51" i="1" s="1"/>
  <c r="A63" i="1" s="1"/>
  <c r="A75" i="1" s="1"/>
  <c r="A87" i="1" s="1"/>
  <c r="A99" i="1" s="1"/>
  <c r="A111" i="1" s="1"/>
  <c r="A123" i="1" s="1"/>
  <c r="A135" i="1" s="1"/>
  <c r="A147" i="1" s="1"/>
  <c r="A159" i="1" s="1"/>
  <c r="A171" i="1" s="1"/>
  <c r="A183" i="1" s="1"/>
  <c r="A195" i="1" s="1"/>
  <c r="A207" i="1" s="1"/>
  <c r="A219" i="1" s="1"/>
  <c r="A231" i="1" s="1"/>
  <c r="A243" i="1" s="1"/>
  <c r="A255" i="1" s="1"/>
  <c r="A267" i="1" s="1"/>
  <c r="A279" i="1" s="1"/>
  <c r="A291" i="1" s="1"/>
  <c r="A303" i="1" s="1"/>
  <c r="B4" i="1"/>
  <c r="B16" i="1" s="1"/>
  <c r="B28" i="1" s="1"/>
  <c r="B40" i="1" s="1"/>
  <c r="B52" i="1" s="1"/>
  <c r="B64" i="1" s="1"/>
  <c r="B76" i="1" s="1"/>
  <c r="B88" i="1" s="1"/>
  <c r="B100" i="1" s="1"/>
  <c r="B112" i="1" s="1"/>
  <c r="B124" i="1" s="1"/>
  <c r="B136" i="1" s="1"/>
  <c r="B148" i="1" s="1"/>
  <c r="B160" i="1" s="1"/>
  <c r="B172" i="1" s="1"/>
  <c r="B184" i="1" s="1"/>
  <c r="B196" i="1" s="1"/>
  <c r="B208" i="1" s="1"/>
  <c r="B220" i="1" s="1"/>
  <c r="B232" i="1" s="1"/>
  <c r="B244" i="1" s="1"/>
  <c r="B256" i="1" s="1"/>
  <c r="B268" i="1" s="1"/>
  <c r="B280" i="1" s="1"/>
  <c r="B292" i="1" s="1"/>
  <c r="B304" i="1" s="1"/>
  <c r="B5" i="1" l="1"/>
  <c r="B17" i="1" l="1"/>
  <c r="B29" i="1" s="1"/>
  <c r="B41" i="1" s="1"/>
  <c r="B53" i="1" s="1"/>
  <c r="B65" i="1" s="1"/>
  <c r="B77" i="1" s="1"/>
  <c r="B89" i="1" s="1"/>
  <c r="B101" i="1" s="1"/>
  <c r="B113" i="1" s="1"/>
  <c r="B125" i="1" s="1"/>
  <c r="B137" i="1" s="1"/>
  <c r="B149" i="1" s="1"/>
  <c r="B161" i="1" s="1"/>
  <c r="B173" i="1" s="1"/>
  <c r="B185" i="1" s="1"/>
  <c r="B197" i="1" s="1"/>
  <c r="B209" i="1" s="1"/>
  <c r="B221" i="1" s="1"/>
  <c r="B233" i="1" s="1"/>
  <c r="B245" i="1" s="1"/>
  <c r="B257" i="1" s="1"/>
  <c r="B269" i="1" s="1"/>
  <c r="B281" i="1" s="1"/>
  <c r="B293" i="1" s="1"/>
  <c r="B305" i="1" s="1"/>
  <c r="B6" i="1"/>
  <c r="B18" i="1" l="1"/>
  <c r="B30" i="1" s="1"/>
  <c r="B42" i="1" s="1"/>
  <c r="B54" i="1" s="1"/>
  <c r="B66" i="1" s="1"/>
  <c r="B78" i="1" s="1"/>
  <c r="B90" i="1" s="1"/>
  <c r="B102" i="1" s="1"/>
  <c r="B114" i="1" s="1"/>
  <c r="B126" i="1" s="1"/>
  <c r="B138" i="1" s="1"/>
  <c r="B150" i="1" s="1"/>
  <c r="B162" i="1" s="1"/>
  <c r="B174" i="1" s="1"/>
  <c r="B186" i="1" s="1"/>
  <c r="B198" i="1" s="1"/>
  <c r="B210" i="1" s="1"/>
  <c r="B222" i="1" s="1"/>
  <c r="B234" i="1" s="1"/>
  <c r="B246" i="1" s="1"/>
  <c r="B258" i="1" s="1"/>
  <c r="B270" i="1" s="1"/>
  <c r="B282" i="1" s="1"/>
  <c r="B294" i="1" s="1"/>
  <c r="B306" i="1" s="1"/>
  <c r="B7" i="1"/>
  <c r="B8" i="1" l="1"/>
  <c r="B19" i="1"/>
  <c r="B31" i="1" s="1"/>
  <c r="B43" i="1" s="1"/>
  <c r="B55" i="1" s="1"/>
  <c r="B67" i="1" s="1"/>
  <c r="B79" i="1" s="1"/>
  <c r="B91" i="1" s="1"/>
  <c r="B103" i="1" s="1"/>
  <c r="B115" i="1" s="1"/>
  <c r="B127" i="1" s="1"/>
  <c r="B139" i="1" s="1"/>
  <c r="B151" i="1" s="1"/>
  <c r="B163" i="1" s="1"/>
  <c r="B175" i="1" s="1"/>
  <c r="B187" i="1" s="1"/>
  <c r="B199" i="1" s="1"/>
  <c r="B211" i="1" s="1"/>
  <c r="B223" i="1" s="1"/>
  <c r="B235" i="1" s="1"/>
  <c r="B247" i="1" s="1"/>
  <c r="B259" i="1" s="1"/>
  <c r="B271" i="1" s="1"/>
  <c r="B283" i="1" s="1"/>
  <c r="B295" i="1" s="1"/>
  <c r="B307" i="1" s="1"/>
  <c r="B20" i="1" l="1"/>
  <c r="B32" i="1" s="1"/>
  <c r="B44" i="1" s="1"/>
  <c r="B56" i="1" s="1"/>
  <c r="B68" i="1" s="1"/>
  <c r="B80" i="1" s="1"/>
  <c r="B92" i="1" s="1"/>
  <c r="B104" i="1" s="1"/>
  <c r="B116" i="1" s="1"/>
  <c r="B128" i="1" s="1"/>
  <c r="B140" i="1" s="1"/>
  <c r="B152" i="1" s="1"/>
  <c r="B164" i="1" s="1"/>
  <c r="B176" i="1" s="1"/>
  <c r="B188" i="1" s="1"/>
  <c r="B200" i="1" s="1"/>
  <c r="B212" i="1" s="1"/>
  <c r="B224" i="1" s="1"/>
  <c r="B236" i="1" s="1"/>
  <c r="B248" i="1" s="1"/>
  <c r="B260" i="1" s="1"/>
  <c r="B272" i="1" s="1"/>
  <c r="B284" i="1" s="1"/>
  <c r="B296" i="1" s="1"/>
  <c r="B308" i="1" s="1"/>
  <c r="B9" i="1"/>
  <c r="B10" i="1" l="1"/>
  <c r="B21" i="1"/>
  <c r="B33" i="1" s="1"/>
  <c r="B45" i="1" s="1"/>
  <c r="B57" i="1" s="1"/>
  <c r="B69" i="1" s="1"/>
  <c r="B81" i="1" s="1"/>
  <c r="B93" i="1" s="1"/>
  <c r="B105" i="1" s="1"/>
  <c r="B117" i="1" s="1"/>
  <c r="B129" i="1" s="1"/>
  <c r="B141" i="1" s="1"/>
  <c r="B153" i="1" s="1"/>
  <c r="B165" i="1" s="1"/>
  <c r="B177" i="1" s="1"/>
  <c r="B189" i="1" s="1"/>
  <c r="B201" i="1" s="1"/>
  <c r="B213" i="1" s="1"/>
  <c r="B225" i="1" s="1"/>
  <c r="B237" i="1" s="1"/>
  <c r="B249" i="1" s="1"/>
  <c r="B261" i="1" s="1"/>
  <c r="B273" i="1" s="1"/>
  <c r="B285" i="1" s="1"/>
  <c r="B297" i="1" s="1"/>
  <c r="B309" i="1" s="1"/>
  <c r="B22" i="1" l="1"/>
  <c r="B34" i="1" s="1"/>
  <c r="B46" i="1" s="1"/>
  <c r="B58" i="1" s="1"/>
  <c r="B70" i="1" s="1"/>
  <c r="B82" i="1" s="1"/>
  <c r="B94" i="1" s="1"/>
  <c r="B106" i="1" s="1"/>
  <c r="B118" i="1" s="1"/>
  <c r="B130" i="1" s="1"/>
  <c r="B142" i="1" s="1"/>
  <c r="B154" i="1" s="1"/>
  <c r="B166" i="1" s="1"/>
  <c r="B178" i="1" s="1"/>
  <c r="B190" i="1" s="1"/>
  <c r="B202" i="1" s="1"/>
  <c r="B214" i="1" s="1"/>
  <c r="B226" i="1" s="1"/>
  <c r="B238" i="1" s="1"/>
  <c r="B250" i="1" s="1"/>
  <c r="B262" i="1" s="1"/>
  <c r="B274" i="1" s="1"/>
  <c r="B286" i="1" s="1"/>
  <c r="B298" i="1" s="1"/>
  <c r="B310" i="1" s="1"/>
  <c r="B11" i="1"/>
  <c r="B23" i="1" l="1"/>
  <c r="B35" i="1" s="1"/>
  <c r="B47" i="1" s="1"/>
  <c r="B59" i="1" s="1"/>
  <c r="B71" i="1" s="1"/>
  <c r="B83" i="1" s="1"/>
  <c r="B95" i="1" s="1"/>
  <c r="B107" i="1" s="1"/>
  <c r="B119" i="1" s="1"/>
  <c r="B131" i="1" s="1"/>
  <c r="B143" i="1" s="1"/>
  <c r="B155" i="1" s="1"/>
  <c r="B167" i="1" s="1"/>
  <c r="B179" i="1" s="1"/>
  <c r="B191" i="1" s="1"/>
  <c r="B203" i="1" s="1"/>
  <c r="B215" i="1" s="1"/>
  <c r="B227" i="1" s="1"/>
  <c r="B239" i="1" s="1"/>
  <c r="B251" i="1" s="1"/>
  <c r="B263" i="1" s="1"/>
  <c r="B275" i="1" s="1"/>
  <c r="B287" i="1" s="1"/>
  <c r="B299" i="1" s="1"/>
  <c r="B311" i="1" s="1"/>
  <c r="B12" i="1"/>
  <c r="B24" i="1" l="1"/>
  <c r="B36" i="1" s="1"/>
  <c r="B48" i="1" s="1"/>
  <c r="B60" i="1" s="1"/>
  <c r="B72" i="1" s="1"/>
  <c r="B84" i="1" s="1"/>
  <c r="B96" i="1" s="1"/>
  <c r="B108" i="1" s="1"/>
  <c r="B120" i="1" s="1"/>
  <c r="B132" i="1" s="1"/>
  <c r="B144" i="1" s="1"/>
  <c r="B156" i="1" s="1"/>
  <c r="B168" i="1" s="1"/>
  <c r="B180" i="1" s="1"/>
  <c r="B192" i="1" s="1"/>
  <c r="B204" i="1" s="1"/>
  <c r="B216" i="1" s="1"/>
  <c r="B228" i="1" s="1"/>
  <c r="B240" i="1" s="1"/>
  <c r="B252" i="1" s="1"/>
  <c r="B264" i="1" s="1"/>
  <c r="B276" i="1" s="1"/>
  <c r="B288" i="1" s="1"/>
  <c r="B300" i="1" s="1"/>
  <c r="B312" i="1" s="1"/>
  <c r="B13" i="1"/>
  <c r="B25" i="1" l="1"/>
  <c r="B37" i="1" s="1"/>
  <c r="B49" i="1" s="1"/>
  <c r="B61" i="1" s="1"/>
  <c r="B73" i="1" s="1"/>
  <c r="B85" i="1" s="1"/>
  <c r="B97" i="1" s="1"/>
  <c r="B109" i="1" s="1"/>
  <c r="B121" i="1" s="1"/>
  <c r="B133" i="1" s="1"/>
  <c r="B145" i="1" s="1"/>
  <c r="B157" i="1" s="1"/>
  <c r="B169" i="1" s="1"/>
  <c r="B181" i="1" s="1"/>
  <c r="B193" i="1" s="1"/>
  <c r="B205" i="1" s="1"/>
  <c r="B217" i="1" s="1"/>
  <c r="B229" i="1" s="1"/>
  <c r="B241" i="1" s="1"/>
  <c r="B253" i="1" s="1"/>
  <c r="B265" i="1" s="1"/>
  <c r="B277" i="1" s="1"/>
  <c r="B289" i="1" s="1"/>
  <c r="B301" i="1" s="1"/>
  <c r="B313" i="1" s="1"/>
  <c r="B14" i="1"/>
  <c r="B26" i="1" s="1"/>
  <c r="B38" i="1" s="1"/>
  <c r="B50" i="1" s="1"/>
  <c r="B62" i="1" s="1"/>
  <c r="B74" i="1" s="1"/>
  <c r="B86" i="1" s="1"/>
  <c r="B98" i="1" s="1"/>
  <c r="B110" i="1" s="1"/>
  <c r="B122" i="1" s="1"/>
  <c r="B134" i="1" s="1"/>
  <c r="B146" i="1" s="1"/>
  <c r="B158" i="1" s="1"/>
  <c r="B170" i="1" s="1"/>
  <c r="B182" i="1" s="1"/>
  <c r="B194" i="1" s="1"/>
  <c r="B206" i="1" s="1"/>
  <c r="B218" i="1" s="1"/>
  <c r="B230" i="1" s="1"/>
  <c r="B242" i="1" s="1"/>
  <c r="B254" i="1" s="1"/>
  <c r="B266" i="1" s="1"/>
  <c r="B278" i="1" s="1"/>
  <c r="B290" i="1" s="1"/>
  <c r="B302" i="1" s="1"/>
  <c r="B314" i="1" s="1"/>
</calcChain>
</file>

<file path=xl/sharedStrings.xml><?xml version="1.0" encoding="utf-8"?>
<sst xmlns="http://schemas.openxmlformats.org/spreadsheetml/2006/main" count="52" uniqueCount="48">
  <si>
    <t>Neutral interest rate</t>
  </si>
  <si>
    <t>Neutral exchange rate</t>
  </si>
  <si>
    <t>Core inflation</t>
  </si>
  <si>
    <t>Monthly activity indicator</t>
  </si>
  <si>
    <t>Inflation forecast</t>
  </si>
  <si>
    <t>ECPI</t>
  </si>
  <si>
    <t>Year</t>
  </si>
  <si>
    <t>Month</t>
  </si>
  <si>
    <t>Taylor</t>
  </si>
  <si>
    <t>REER</t>
  </si>
  <si>
    <t>National</t>
  </si>
  <si>
    <t>UB</t>
  </si>
  <si>
    <t>Core</t>
  </si>
  <si>
    <t>MAI</t>
  </si>
  <si>
    <t>Output gap</t>
  </si>
  <si>
    <t>Nowcast</t>
  </si>
  <si>
    <t>Economic Indicators</t>
  </si>
  <si>
    <t>Inflation Expectation - Next quarter</t>
  </si>
  <si>
    <t>Bank Lending Survey</t>
  </si>
  <si>
    <t>Quarter</t>
  </si>
  <si>
    <t>Kalman</t>
  </si>
  <si>
    <t>Average</t>
  </si>
  <si>
    <t>Manufacturing</t>
  </si>
  <si>
    <t>Construction</t>
  </si>
  <si>
    <t>Retail</t>
  </si>
  <si>
    <t>Service</t>
  </si>
  <si>
    <t>Economic Sentiment Index</t>
  </si>
  <si>
    <t>Employment Expectation Index</t>
  </si>
  <si>
    <t>Economic Uncertainty Index</t>
  </si>
  <si>
    <t>Individuals</t>
  </si>
  <si>
    <t>Firms</t>
  </si>
  <si>
    <t>Experts</t>
  </si>
  <si>
    <t>Credit Standart for Household (next quarter)</t>
  </si>
  <si>
    <t>Credit Standart for Corporate (next quarter)</t>
  </si>
  <si>
    <t>PMI</t>
  </si>
  <si>
    <t>Hodrick-Prescott</t>
  </si>
  <si>
    <t>Beveridge Nelson</t>
  </si>
  <si>
    <t>Band-Pass</t>
  </si>
  <si>
    <t>Policy rate</t>
  </si>
  <si>
    <t>Neutral rate</t>
  </si>
  <si>
    <t>Inflation</t>
  </si>
  <si>
    <t>Forecast 1</t>
  </si>
  <si>
    <t>Forecast 2</t>
  </si>
  <si>
    <t>UB inflation</t>
  </si>
  <si>
    <t>Production function</t>
  </si>
  <si>
    <t>GDP, Yoy</t>
  </si>
  <si>
    <t>Dynamic Factor Model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</si>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</sst>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0.0"/>
    <numFmt numFmtId="166" formatCode="#,##0.0"/>
    <numFmt numFmtId="167" formatCode="_(* #,##0.0_);_(* \(#,##0.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Times New Roman"/>
      <family val="1"/>
    </font>
    <font>
      <sz val="10"/>
      <name val="Times New Roman"/>
      <family val="1"/>
    </font>
    <font>
      <sz val="11"/>
      <color rgb="FF000000"/>
      <name val="Calibri"/>
      <family val="2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/>
      <top/>
      <bottom style="dashed">
        <color indexed="64"/>
      </bottom>
      <diagonal/>
    </border>
    <border>
      <left/>
      <right style="hair">
        <color auto="1"/>
      </right>
      <top/>
      <bottom style="dashed">
        <color indexed="64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0" xfId="0" applyFont="1"/>
    <xf numFmtId="0" fontId="3" fillId="0" borderId="2" xfId="0" applyFont="1" applyBorder="1"/>
    <xf numFmtId="4" fontId="3" fillId="0" borderId="1" xfId="0" applyNumberFormat="1" applyFont="1" applyBorder="1"/>
    <xf numFmtId="4" fontId="3" fillId="0" borderId="0" xfId="0" applyNumberFormat="1" applyFont="1"/>
    <xf numFmtId="165" fontId="3" fillId="0" borderId="1" xfId="0" applyNumberFormat="1" applyFont="1" applyBorder="1"/>
    <xf numFmtId="4" fontId="3" fillId="0" borderId="2" xfId="0" applyNumberFormat="1" applyFont="1" applyBorder="1"/>
    <xf numFmtId="166" fontId="3" fillId="0" borderId="0" xfId="0" applyNumberFormat="1" applyFont="1"/>
    <xf numFmtId="165" fontId="3" fillId="0" borderId="0" xfId="0" applyNumberFormat="1" applyFont="1"/>
    <xf numFmtId="0" fontId="5" fillId="0" borderId="0" xfId="0" applyFont="1"/>
    <xf numFmtId="0" fontId="5" fillId="3" borderId="5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64" fontId="5" fillId="0" borderId="1" xfId="2" applyNumberFormat="1" applyFont="1" applyBorder="1"/>
    <xf numFmtId="164" fontId="5" fillId="0" borderId="0" xfId="2" applyNumberFormat="1" applyFont="1" applyBorder="1"/>
    <xf numFmtId="164" fontId="5" fillId="0" borderId="2" xfId="2" applyNumberFormat="1" applyFont="1" applyBorder="1"/>
    <xf numFmtId="4" fontId="5" fillId="0" borderId="0" xfId="0" applyNumberFormat="1" applyFont="1"/>
    <xf numFmtId="4" fontId="5" fillId="0" borderId="2" xfId="0" applyNumberFormat="1" applyFont="1" applyBorder="1"/>
    <xf numFmtId="4" fontId="5" fillId="0" borderId="1" xfId="0" applyNumberFormat="1" applyFont="1" applyBorder="1"/>
    <xf numFmtId="0" fontId="5" fillId="0" borderId="2" xfId="0" applyFont="1" applyBorder="1"/>
    <xf numFmtId="0" fontId="5" fillId="0" borderId="1" xfId="0" applyFont="1" applyBorder="1"/>
    <xf numFmtId="0" fontId="5" fillId="5" borderId="5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43" fontId="5" fillId="0" borderId="1" xfId="1" applyFont="1" applyBorder="1"/>
    <xf numFmtId="43" fontId="5" fillId="0" borderId="2" xfId="1" applyFont="1" applyBorder="1"/>
    <xf numFmtId="167" fontId="5" fillId="0" borderId="1" xfId="1" applyNumberFormat="1" applyFont="1" applyBorder="1"/>
    <xf numFmtId="167" fontId="5" fillId="0" borderId="0" xfId="1" applyNumberFormat="1" applyFont="1" applyBorder="1"/>
    <xf numFmtId="167" fontId="5" fillId="0" borderId="2" xfId="1" applyNumberFormat="1" applyFont="1" applyBorder="1"/>
    <xf numFmtId="0" fontId="5" fillId="0" borderId="6" xfId="0" applyFont="1" applyBorder="1"/>
    <xf numFmtId="164" fontId="2" fillId="2" borderId="1" xfId="2" applyNumberFormat="1" applyFont="1" applyFill="1" applyBorder="1" applyAlignment="1">
      <alignment horizontal="center" vertical="center"/>
    </xf>
    <xf numFmtId="164" fontId="2" fillId="2" borderId="0" xfId="2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3" borderId="7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164" fontId="0" fillId="0" borderId="9" xfId="2" applyNumberFormat="1" applyFont="1" applyBorder="1"/>
    <xf numFmtId="164" fontId="0" fillId="0" borderId="0" xfId="2" applyNumberFormat="1" applyFont="1" applyBorder="1"/>
    <xf numFmtId="164" fontId="0" fillId="0" borderId="10" xfId="2" applyNumberFormat="1" applyFont="1" applyBorder="1"/>
    <xf numFmtId="0" fontId="0" fillId="0" borderId="10" xfId="0" applyBorder="1"/>
    <xf numFmtId="164" fontId="3" fillId="6" borderId="10" xfId="2" applyNumberFormat="1" applyFont="1" applyFill="1" applyBorder="1" applyAlignment="1">
      <alignment horizontal="right" indent="1"/>
    </xf>
    <xf numFmtId="0" fontId="0" fillId="0" borderId="9" xfId="0" applyBorder="1"/>
    <xf numFmtId="4" fontId="0" fillId="0" borderId="10" xfId="0" applyNumberFormat="1" applyBorder="1"/>
    <xf numFmtId="2" fontId="0" fillId="0" borderId="9" xfId="2" applyNumberFormat="1" applyFont="1" applyBorder="1"/>
    <xf numFmtId="0" fontId="2" fillId="2" borderId="0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9" fontId="0" fillId="0" borderId="9" xfId="3" applyFont="1" applyBorder="1"/>
    <xf numFmtId="164" fontId="0" fillId="0" borderId="0" xfId="3" applyNumberFormat="1" applyFont="1" applyBorder="1"/>
    <xf numFmtId="9" fontId="0" fillId="0" borderId="9" xfId="0" applyNumberFormat="1" applyBorder="1"/>
    <xf numFmtId="164" fontId="0" fillId="0" borderId="0" xfId="0" applyNumberFormat="1"/>
    <xf numFmtId="0" fontId="0" fillId="5" borderId="9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164" fontId="0" fillId="0" borderId="9" xfId="0" applyNumberFormat="1" applyBorder="1"/>
    <xf numFmtId="164" fontId="0" fillId="0" borderId="10" xfId="0" applyNumberFormat="1" applyBorder="1"/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0" fillId="5" borderId="8" xfId="0" applyFill="1" applyBorder="1" applyAlignment="1">
      <alignment horizontal="center" vertical="center" wrapText="1"/>
    </xf>
    <xf numFmtId="4" fontId="0" fillId="0" borderId="9" xfId="0" applyNumberFormat="1" applyBorder="1"/>
    <xf numFmtId="4" fontId="0" fillId="0" borderId="0" xfId="0" applyNumberFormat="1"/>
  </cellXfs>
  <cellStyles count="4">
    <cellStyle name="Comma" xfId="1" builtinId="3"/>
    <cellStyle name="Normal" xfId="0" builtinId="0"/>
    <cellStyle name="Percent" xfId="2" builtinId="5"/>
    <cellStyle name="Percent 3" xfId="3" xr:uid="{B345938F-571A-454F-9299-46CD9E25F3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74113-F9B8-4B06-93C4-E790832DB6B2}">
  <dimension ref="A1:Q315"/>
  <sheetViews>
    <sheetView tabSelected="1" workbookViewId="0">
      <selection activeCell="I2" sqref="I1:J1048576"/>
    </sheetView>
  </sheetViews>
  <sheetFormatPr defaultRowHeight="13.8" x14ac:dyDescent="0.25"/>
  <cols>
    <col min="1" max="1" width="5" style="11" bestFit="1" customWidth="1"/>
    <col min="2" max="2" width="6.33203125" style="11" bestFit="1" customWidth="1"/>
    <col min="3" max="4" width="6.21875" style="11" bestFit="1" customWidth="1"/>
    <col min="5" max="5" width="6.33203125" style="11" bestFit="1" customWidth="1"/>
    <col min="6" max="8" width="6.21875" style="11" bestFit="1" customWidth="1"/>
    <col min="9" max="9" width="7.6640625" style="11" bestFit="1" customWidth="1"/>
    <col min="10" max="11" width="5.5546875" style="11" bestFit="1" customWidth="1"/>
    <col min="12" max="12" width="26.33203125" style="11" customWidth="1"/>
    <col min="13" max="13" width="6.109375" style="31" bestFit="1" customWidth="1"/>
    <col min="14" max="15" width="8.77734375" style="11" bestFit="1" customWidth="1"/>
    <col min="16" max="16" width="6.77734375" style="11" customWidth="1"/>
    <col min="17" max="16384" width="8.88671875" style="11"/>
  </cols>
  <sheetData>
    <row r="1" spans="1:17" ht="14.4" customHeight="1" x14ac:dyDescent="0.25">
      <c r="A1" s="38" t="s">
        <v>6</v>
      </c>
      <c r="B1" s="40" t="s">
        <v>7</v>
      </c>
      <c r="C1" s="32" t="s">
        <v>0</v>
      </c>
      <c r="D1" s="33"/>
      <c r="E1" s="33"/>
      <c r="F1" s="33"/>
      <c r="G1" s="33"/>
      <c r="H1" s="33"/>
      <c r="I1" s="34" t="s">
        <v>2</v>
      </c>
      <c r="J1" s="35"/>
      <c r="K1" s="36"/>
      <c r="L1" s="1" t="s">
        <v>3</v>
      </c>
      <c r="M1" s="37" t="s">
        <v>4</v>
      </c>
      <c r="N1" s="35"/>
      <c r="O1" s="36"/>
      <c r="P1" s="34" t="s">
        <v>5</v>
      </c>
      <c r="Q1" s="60"/>
    </row>
    <row r="2" spans="1:17" ht="14.4" x14ac:dyDescent="0.25">
      <c r="A2" s="39"/>
      <c r="B2" s="41"/>
      <c r="C2" s="49" t="s">
        <v>8</v>
      </c>
      <c r="D2" s="50" t="s">
        <v>35</v>
      </c>
      <c r="E2" s="50" t="s">
        <v>36</v>
      </c>
      <c r="F2" s="50" t="s">
        <v>37</v>
      </c>
      <c r="G2" s="50" t="s">
        <v>38</v>
      </c>
      <c r="H2" s="51" t="s">
        <v>39</v>
      </c>
      <c r="I2" s="12" t="s">
        <v>10</v>
      </c>
      <c r="J2" s="13" t="s">
        <v>11</v>
      </c>
      <c r="K2" s="14" t="s">
        <v>12</v>
      </c>
      <c r="L2" s="12" t="s">
        <v>13</v>
      </c>
      <c r="M2" s="49" t="s">
        <v>40</v>
      </c>
      <c r="N2" s="50" t="s">
        <v>41</v>
      </c>
      <c r="O2" s="51" t="s">
        <v>42</v>
      </c>
      <c r="P2" s="49" t="s">
        <v>5</v>
      </c>
      <c r="Q2" s="51" t="s">
        <v>43</v>
      </c>
    </row>
    <row r="3" spans="1:17" ht="14.4" x14ac:dyDescent="0.3">
      <c r="A3" s="11">
        <v>2000</v>
      </c>
      <c r="B3" s="11">
        <v>1</v>
      </c>
      <c r="C3" s="52"/>
      <c r="D3" s="53"/>
      <c r="E3" s="53"/>
      <c r="F3" s="53"/>
      <c r="G3" s="53"/>
      <c r="H3" s="54"/>
      <c r="I3" s="2"/>
      <c r="J3" s="3"/>
      <c r="K3" s="4"/>
      <c r="L3" s="2"/>
      <c r="M3" s="52">
        <v>0.13600000000000001</v>
      </c>
      <c r="N3"/>
      <c r="O3" s="55"/>
      <c r="P3" s="57"/>
      <c r="Q3" s="55"/>
    </row>
    <row r="4" spans="1:17" ht="14.4" x14ac:dyDescent="0.3">
      <c r="B4" s="11">
        <f t="shared" ref="B4:B14" si="0">B3+1</f>
        <v>2</v>
      </c>
      <c r="C4" s="52"/>
      <c r="D4" s="53"/>
      <c r="E4" s="53"/>
      <c r="F4" s="53"/>
      <c r="G4" s="53"/>
      <c r="H4" s="54"/>
      <c r="I4" s="2"/>
      <c r="J4" s="3"/>
      <c r="K4" s="4"/>
      <c r="L4" s="2"/>
      <c r="M4" s="52">
        <v>0.12300000000000001</v>
      </c>
      <c r="N4"/>
      <c r="O4" s="55"/>
      <c r="P4" s="57"/>
      <c r="Q4" s="55"/>
    </row>
    <row r="5" spans="1:17" ht="14.4" x14ac:dyDescent="0.3">
      <c r="B5" s="11">
        <f t="shared" si="0"/>
        <v>3</v>
      </c>
      <c r="C5" s="52"/>
      <c r="D5" s="53"/>
      <c r="E5" s="53"/>
      <c r="F5" s="53"/>
      <c r="G5" s="53"/>
      <c r="H5" s="54"/>
      <c r="I5" s="2"/>
      <c r="J5" s="3"/>
      <c r="K5" s="4"/>
      <c r="L5" s="2"/>
      <c r="M5" s="52">
        <v>0.11599999999999999</v>
      </c>
      <c r="N5"/>
      <c r="O5" s="55"/>
      <c r="P5" s="57"/>
      <c r="Q5" s="55"/>
    </row>
    <row r="6" spans="1:17" ht="14.4" x14ac:dyDescent="0.3">
      <c r="B6" s="11">
        <f t="shared" si="0"/>
        <v>4</v>
      </c>
      <c r="C6" s="52"/>
      <c r="D6" s="53"/>
      <c r="E6" s="53"/>
      <c r="F6" s="53"/>
      <c r="G6" s="53"/>
      <c r="H6" s="54"/>
      <c r="I6" s="2"/>
      <c r="J6" s="3"/>
      <c r="K6" s="4"/>
      <c r="L6" s="2"/>
      <c r="M6" s="52">
        <v>0.14199999999999999</v>
      </c>
      <c r="N6"/>
      <c r="O6" s="55"/>
      <c r="P6" s="57"/>
      <c r="Q6" s="55"/>
    </row>
    <row r="7" spans="1:17" ht="14.4" x14ac:dyDescent="0.3">
      <c r="B7" s="11">
        <f t="shared" si="0"/>
        <v>5</v>
      </c>
      <c r="C7" s="52"/>
      <c r="D7" s="53"/>
      <c r="E7" s="53"/>
      <c r="F7" s="53"/>
      <c r="G7" s="53"/>
      <c r="H7" s="54"/>
      <c r="I7" s="2"/>
      <c r="J7" s="3"/>
      <c r="K7" s="4"/>
      <c r="L7" s="2"/>
      <c r="M7" s="52">
        <v>0.155</v>
      </c>
      <c r="N7"/>
      <c r="O7" s="55"/>
      <c r="P7" s="57"/>
      <c r="Q7" s="55"/>
    </row>
    <row r="8" spans="1:17" ht="14.4" x14ac:dyDescent="0.3">
      <c r="B8" s="11">
        <f t="shared" si="0"/>
        <v>6</v>
      </c>
      <c r="C8" s="52"/>
      <c r="D8" s="53"/>
      <c r="E8" s="53"/>
      <c r="F8" s="53"/>
      <c r="G8" s="53"/>
      <c r="H8" s="54"/>
      <c r="I8" s="2"/>
      <c r="J8" s="3"/>
      <c r="K8" s="4"/>
      <c r="L8" s="2"/>
      <c r="M8" s="52">
        <v>0.154</v>
      </c>
      <c r="N8"/>
      <c r="O8" s="55"/>
      <c r="P8" s="57"/>
      <c r="Q8" s="55"/>
    </row>
    <row r="9" spans="1:17" ht="14.4" x14ac:dyDescent="0.3">
      <c r="B9" s="11">
        <f t="shared" si="0"/>
        <v>7</v>
      </c>
      <c r="C9" s="52"/>
      <c r="D9" s="53"/>
      <c r="E9" s="53"/>
      <c r="F9" s="53"/>
      <c r="G9" s="53"/>
      <c r="H9" s="54"/>
      <c r="I9" s="2"/>
      <c r="J9" s="3"/>
      <c r="K9" s="4"/>
      <c r="L9" s="2"/>
      <c r="M9" s="52">
        <v>0.13500000000000001</v>
      </c>
      <c r="N9"/>
      <c r="O9" s="55"/>
      <c r="P9" s="57"/>
      <c r="Q9" s="55"/>
    </row>
    <row r="10" spans="1:17" ht="14.4" x14ac:dyDescent="0.3">
      <c r="B10" s="11">
        <f t="shared" si="0"/>
        <v>8</v>
      </c>
      <c r="C10" s="52"/>
      <c r="D10" s="53"/>
      <c r="E10" s="53"/>
      <c r="F10" s="53"/>
      <c r="G10" s="53"/>
      <c r="H10" s="54"/>
      <c r="I10" s="2"/>
      <c r="J10" s="3"/>
      <c r="K10" s="4"/>
      <c r="L10" s="2"/>
      <c r="M10" s="52">
        <v>0.08</v>
      </c>
      <c r="N10"/>
      <c r="O10" s="55"/>
      <c r="P10" s="57"/>
      <c r="Q10" s="55"/>
    </row>
    <row r="11" spans="1:17" ht="14.4" x14ac:dyDescent="0.3">
      <c r="B11" s="11">
        <f t="shared" si="0"/>
        <v>9</v>
      </c>
      <c r="C11" s="52"/>
      <c r="D11" s="53"/>
      <c r="E11" s="53"/>
      <c r="F11" s="53"/>
      <c r="G11" s="53"/>
      <c r="H11" s="54"/>
      <c r="I11" s="2"/>
      <c r="J11" s="3"/>
      <c r="K11" s="4"/>
      <c r="L11" s="2"/>
      <c r="M11" s="52">
        <v>9.6000000000000002E-2</v>
      </c>
      <c r="N11"/>
      <c r="O11" s="55"/>
      <c r="P11" s="57"/>
      <c r="Q11" s="55"/>
    </row>
    <row r="12" spans="1:17" ht="14.4" x14ac:dyDescent="0.3">
      <c r="B12" s="11">
        <f t="shared" si="0"/>
        <v>10</v>
      </c>
      <c r="C12" s="52"/>
      <c r="D12" s="53"/>
      <c r="E12" s="53"/>
      <c r="F12" s="53"/>
      <c r="G12" s="53"/>
      <c r="H12" s="54"/>
      <c r="I12" s="2"/>
      <c r="J12" s="3"/>
      <c r="K12" s="4"/>
      <c r="L12" s="2"/>
      <c r="M12" s="52">
        <v>9.3000000000000013E-2</v>
      </c>
      <c r="N12"/>
      <c r="O12" s="55"/>
      <c r="P12" s="57"/>
      <c r="Q12" s="55"/>
    </row>
    <row r="13" spans="1:17" ht="14.4" x14ac:dyDescent="0.3">
      <c r="B13" s="11">
        <f t="shared" si="0"/>
        <v>11</v>
      </c>
      <c r="C13" s="52"/>
      <c r="D13" s="53"/>
      <c r="E13" s="53"/>
      <c r="F13" s="53"/>
      <c r="G13" s="53"/>
      <c r="H13" s="54"/>
      <c r="I13" s="2"/>
      <c r="J13" s="3"/>
      <c r="K13" s="4"/>
      <c r="L13" s="2"/>
      <c r="M13" s="52">
        <v>7.5999999999999998E-2</v>
      </c>
      <c r="N13"/>
      <c r="O13" s="55"/>
      <c r="P13" s="57"/>
      <c r="Q13" s="55"/>
    </row>
    <row r="14" spans="1:17" ht="14.4" x14ac:dyDescent="0.3">
      <c r="B14" s="11">
        <f t="shared" si="0"/>
        <v>12</v>
      </c>
      <c r="C14" s="52"/>
      <c r="D14" s="53"/>
      <c r="E14" s="53"/>
      <c r="F14" s="53"/>
      <c r="G14" s="53"/>
      <c r="H14" s="54"/>
      <c r="I14" s="2"/>
      <c r="J14" s="3"/>
      <c r="K14" s="4"/>
      <c r="L14" s="2"/>
      <c r="M14" s="52">
        <v>8.1000000000000003E-2</v>
      </c>
      <c r="N14"/>
      <c r="O14" s="55"/>
      <c r="P14" s="57"/>
      <c r="Q14" s="55"/>
    </row>
    <row r="15" spans="1:17" ht="14.4" x14ac:dyDescent="0.3">
      <c r="A15" s="11">
        <f>A3+1</f>
        <v>2001</v>
      </c>
      <c r="B15" s="11">
        <f>B3</f>
        <v>1</v>
      </c>
      <c r="C15" s="52"/>
      <c r="D15" s="53"/>
      <c r="E15" s="53"/>
      <c r="F15" s="53"/>
      <c r="G15" s="53"/>
      <c r="H15" s="54"/>
      <c r="I15" s="2"/>
      <c r="J15" s="3"/>
      <c r="K15" s="4"/>
      <c r="L15" s="2"/>
      <c r="M15" s="52">
        <v>9.6000000000000002E-2</v>
      </c>
      <c r="N15" s="53">
        <v>7.4999999999999997E-2</v>
      </c>
      <c r="O15" s="55"/>
      <c r="P15" s="57"/>
      <c r="Q15" s="55"/>
    </row>
    <row r="16" spans="1:17" ht="14.4" x14ac:dyDescent="0.3">
      <c r="B16" s="11">
        <f t="shared" ref="B16:B79" si="1">B4</f>
        <v>2</v>
      </c>
      <c r="C16" s="52"/>
      <c r="D16" s="53"/>
      <c r="E16" s="53"/>
      <c r="F16" s="53"/>
      <c r="G16" s="53"/>
      <c r="H16" s="54"/>
      <c r="I16" s="2"/>
      <c r="J16" s="3"/>
      <c r="K16" s="4"/>
      <c r="L16" s="2"/>
      <c r="M16" s="52">
        <v>8.8000000000000009E-2</v>
      </c>
      <c r="N16" s="53">
        <v>8.5999999999999993E-2</v>
      </c>
      <c r="O16" s="55"/>
      <c r="P16" s="57"/>
      <c r="Q16" s="55"/>
    </row>
    <row r="17" spans="1:17" ht="14.4" x14ac:dyDescent="0.3">
      <c r="B17" s="11">
        <f t="shared" si="1"/>
        <v>3</v>
      </c>
      <c r="C17" s="52"/>
      <c r="D17" s="53"/>
      <c r="E17" s="53"/>
      <c r="F17" s="53"/>
      <c r="G17" s="53"/>
      <c r="H17" s="54"/>
      <c r="I17" s="2"/>
      <c r="J17" s="3"/>
      <c r="K17" s="4"/>
      <c r="L17" s="2"/>
      <c r="M17" s="52">
        <v>0.106</v>
      </c>
      <c r="N17" s="53">
        <v>8.5000000000000006E-2</v>
      </c>
      <c r="O17" s="55"/>
      <c r="P17" s="57"/>
      <c r="Q17" s="55"/>
    </row>
    <row r="18" spans="1:17" ht="14.4" x14ac:dyDescent="0.3">
      <c r="B18" s="11">
        <f t="shared" si="1"/>
        <v>4</v>
      </c>
      <c r="C18" s="52"/>
      <c r="D18" s="53"/>
      <c r="E18" s="53"/>
      <c r="F18" s="53"/>
      <c r="G18" s="53"/>
      <c r="H18" s="54"/>
      <c r="I18" s="2"/>
      <c r="J18" s="3"/>
      <c r="K18" s="4"/>
      <c r="L18" s="2"/>
      <c r="M18" s="52">
        <v>6.0999999999999999E-2</v>
      </c>
      <c r="N18" s="53">
        <v>5.5E-2</v>
      </c>
      <c r="O18" s="55"/>
      <c r="P18" s="57"/>
      <c r="Q18" s="55"/>
    </row>
    <row r="19" spans="1:17" ht="14.4" x14ac:dyDescent="0.3">
      <c r="B19" s="11">
        <f t="shared" si="1"/>
        <v>5</v>
      </c>
      <c r="C19" s="52"/>
      <c r="D19" s="53"/>
      <c r="E19" s="53"/>
      <c r="F19" s="53"/>
      <c r="G19" s="53"/>
      <c r="H19" s="54"/>
      <c r="I19" s="2"/>
      <c r="J19" s="3"/>
      <c r="K19" s="4"/>
      <c r="L19" s="2"/>
      <c r="M19" s="52">
        <v>0.05</v>
      </c>
      <c r="N19" s="53">
        <v>3.7999999999999999E-2</v>
      </c>
      <c r="O19" s="55"/>
      <c r="P19" s="57"/>
      <c r="Q19" s="55"/>
    </row>
    <row r="20" spans="1:17" ht="14.4" x14ac:dyDescent="0.3">
      <c r="B20" s="11">
        <f t="shared" si="1"/>
        <v>6</v>
      </c>
      <c r="C20" s="52"/>
      <c r="D20" s="53"/>
      <c r="E20" s="53"/>
      <c r="F20" s="53"/>
      <c r="G20" s="53"/>
      <c r="H20" s="54"/>
      <c r="I20" s="2"/>
      <c r="J20" s="3"/>
      <c r="K20" s="4"/>
      <c r="L20" s="2"/>
      <c r="M20" s="52">
        <v>1.1000000000000001E-2</v>
      </c>
      <c r="N20" s="53">
        <v>5.5999999999999994E-2</v>
      </c>
      <c r="O20" s="55"/>
      <c r="P20" s="57"/>
      <c r="Q20" s="55"/>
    </row>
    <row r="21" spans="1:17" ht="14.4" x14ac:dyDescent="0.3">
      <c r="B21" s="11">
        <f t="shared" si="1"/>
        <v>7</v>
      </c>
      <c r="C21" s="52"/>
      <c r="D21" s="53"/>
      <c r="E21" s="53"/>
      <c r="F21" s="53"/>
      <c r="G21" s="53"/>
      <c r="H21" s="54"/>
      <c r="I21" s="2"/>
      <c r="J21" s="3"/>
      <c r="K21" s="4"/>
      <c r="L21" s="2"/>
      <c r="M21" s="52">
        <v>1.9E-2</v>
      </c>
      <c r="N21" s="53">
        <v>4.8000000000000001E-2</v>
      </c>
      <c r="O21" s="55"/>
      <c r="P21" s="57"/>
      <c r="Q21" s="55"/>
    </row>
    <row r="22" spans="1:17" ht="14.4" x14ac:dyDescent="0.3">
      <c r="B22" s="11">
        <f t="shared" si="1"/>
        <v>8</v>
      </c>
      <c r="C22" s="52"/>
      <c r="D22" s="53"/>
      <c r="E22" s="53"/>
      <c r="F22" s="53"/>
      <c r="G22" s="53"/>
      <c r="H22" s="54"/>
      <c r="I22" s="2"/>
      <c r="J22" s="3"/>
      <c r="K22" s="4"/>
      <c r="L22" s="2"/>
      <c r="M22" s="52">
        <v>5.7999999999999996E-2</v>
      </c>
      <c r="N22" s="53">
        <v>9.4E-2</v>
      </c>
      <c r="O22" s="55"/>
      <c r="P22" s="57"/>
      <c r="Q22" s="55"/>
    </row>
    <row r="23" spans="1:17" ht="14.4" x14ac:dyDescent="0.3">
      <c r="B23" s="11">
        <f t="shared" si="1"/>
        <v>9</v>
      </c>
      <c r="C23" s="52"/>
      <c r="D23" s="53"/>
      <c r="E23" s="53"/>
      <c r="F23" s="53"/>
      <c r="G23" s="53"/>
      <c r="H23" s="54"/>
      <c r="I23" s="2"/>
      <c r="J23" s="3"/>
      <c r="K23" s="4"/>
      <c r="L23" s="2"/>
      <c r="M23" s="52">
        <v>5.2000000000000005E-2</v>
      </c>
      <c r="N23" s="53">
        <v>6.4000000000000001E-2</v>
      </c>
      <c r="O23" s="55"/>
      <c r="P23" s="57"/>
      <c r="Q23" s="55"/>
    </row>
    <row r="24" spans="1:17" ht="14.4" x14ac:dyDescent="0.3">
      <c r="B24" s="11">
        <f t="shared" si="1"/>
        <v>10</v>
      </c>
      <c r="C24" s="52"/>
      <c r="D24" s="53"/>
      <c r="E24" s="53"/>
      <c r="F24" s="53"/>
      <c r="G24" s="53"/>
      <c r="H24" s="54"/>
      <c r="I24" s="2"/>
      <c r="J24" s="3"/>
      <c r="K24" s="4"/>
      <c r="L24" s="2"/>
      <c r="M24" s="52">
        <v>6.5000000000000002E-2</v>
      </c>
      <c r="N24" s="53">
        <v>5.4000000000000006E-2</v>
      </c>
      <c r="O24" s="55"/>
      <c r="P24" s="57"/>
      <c r="Q24" s="55"/>
    </row>
    <row r="25" spans="1:17" ht="14.4" x14ac:dyDescent="0.3">
      <c r="B25" s="11">
        <f t="shared" si="1"/>
        <v>11</v>
      </c>
      <c r="C25" s="52"/>
      <c r="D25" s="53"/>
      <c r="E25" s="53"/>
      <c r="F25" s="53"/>
      <c r="G25" s="53"/>
      <c r="H25" s="54"/>
      <c r="I25" s="2"/>
      <c r="J25" s="3"/>
      <c r="K25" s="4"/>
      <c r="L25" s="2"/>
      <c r="M25" s="52">
        <v>8.1000000000000003E-2</v>
      </c>
      <c r="N25" s="53">
        <v>7.4999999999999997E-2</v>
      </c>
      <c r="O25" s="55"/>
      <c r="P25" s="57"/>
      <c r="Q25" s="55"/>
    </row>
    <row r="26" spans="1:17" ht="14.4" x14ac:dyDescent="0.3">
      <c r="B26" s="11">
        <f t="shared" si="1"/>
        <v>12</v>
      </c>
      <c r="C26" s="52"/>
      <c r="D26" s="53"/>
      <c r="E26" s="53"/>
      <c r="F26" s="53"/>
      <c r="G26" s="53"/>
      <c r="H26" s="54"/>
      <c r="I26" s="2"/>
      <c r="J26" s="3"/>
      <c r="K26" s="4"/>
      <c r="L26" s="2"/>
      <c r="M26" s="52">
        <v>0.08</v>
      </c>
      <c r="N26" s="53">
        <v>6.2E-2</v>
      </c>
      <c r="O26" s="55"/>
      <c r="P26" s="57"/>
      <c r="Q26" s="55"/>
    </row>
    <row r="27" spans="1:17" ht="14.4" x14ac:dyDescent="0.3">
      <c r="A27" s="11">
        <f t="shared" ref="A27" si="2">A15+1</f>
        <v>2002</v>
      </c>
      <c r="B27" s="11">
        <f t="shared" si="1"/>
        <v>1</v>
      </c>
      <c r="C27" s="52"/>
      <c r="D27" s="53"/>
      <c r="E27" s="53"/>
      <c r="F27" s="53"/>
      <c r="G27" s="53"/>
      <c r="H27" s="54"/>
      <c r="I27" s="2"/>
      <c r="J27" s="3"/>
      <c r="K27" s="4"/>
      <c r="L27" s="2"/>
      <c r="M27" s="52">
        <v>3.4000000000000002E-2</v>
      </c>
      <c r="N27" s="53">
        <v>5.7999999999999996E-2</v>
      </c>
      <c r="O27" s="55"/>
      <c r="P27" s="57"/>
      <c r="Q27" s="55"/>
    </row>
    <row r="28" spans="1:17" ht="14.4" x14ac:dyDescent="0.3">
      <c r="B28" s="11">
        <f t="shared" si="1"/>
        <v>2</v>
      </c>
      <c r="C28" s="52"/>
      <c r="D28" s="53"/>
      <c r="E28" s="53"/>
      <c r="F28" s="53"/>
      <c r="G28" s="53"/>
      <c r="H28" s="54"/>
      <c r="I28" s="2"/>
      <c r="J28" s="3"/>
      <c r="K28" s="4"/>
      <c r="L28" s="2"/>
      <c r="M28" s="52">
        <v>2.5000000000000001E-2</v>
      </c>
      <c r="N28" s="53">
        <v>3.2000000000000001E-2</v>
      </c>
      <c r="O28" s="55"/>
      <c r="P28" s="57"/>
      <c r="Q28" s="55"/>
    </row>
    <row r="29" spans="1:17" ht="14.4" x14ac:dyDescent="0.3">
      <c r="B29" s="11">
        <f t="shared" si="1"/>
        <v>3</v>
      </c>
      <c r="C29" s="52"/>
      <c r="D29" s="53"/>
      <c r="E29" s="53"/>
      <c r="F29" s="53"/>
      <c r="G29" s="53"/>
      <c r="H29" s="54"/>
      <c r="I29" s="2"/>
      <c r="J29" s="3"/>
      <c r="K29" s="4"/>
      <c r="L29" s="2"/>
      <c r="M29" s="52">
        <v>-1.6E-2</v>
      </c>
      <c r="N29" s="53">
        <v>5.0000000000000001E-3</v>
      </c>
      <c r="O29" s="55"/>
      <c r="P29" s="57"/>
      <c r="Q29" s="55"/>
    </row>
    <row r="30" spans="1:17" ht="14.4" x14ac:dyDescent="0.3">
      <c r="B30" s="11">
        <f t="shared" si="1"/>
        <v>4</v>
      </c>
      <c r="C30" s="52"/>
      <c r="D30" s="53"/>
      <c r="E30" s="53"/>
      <c r="F30" s="53"/>
      <c r="G30" s="53"/>
      <c r="H30" s="54"/>
      <c r="I30" s="2"/>
      <c r="J30" s="3"/>
      <c r="K30" s="4"/>
      <c r="L30" s="2"/>
      <c r="M30" s="52">
        <v>-2.1000000000000001E-2</v>
      </c>
      <c r="N30" s="53">
        <v>-2.3E-2</v>
      </c>
      <c r="O30" s="55"/>
      <c r="P30" s="57"/>
      <c r="Q30" s="55"/>
    </row>
    <row r="31" spans="1:17" ht="14.4" x14ac:dyDescent="0.3">
      <c r="B31" s="11">
        <f t="shared" si="1"/>
        <v>5</v>
      </c>
      <c r="C31" s="52"/>
      <c r="D31" s="53"/>
      <c r="E31" s="53"/>
      <c r="F31" s="53"/>
      <c r="G31" s="53"/>
      <c r="H31" s="54"/>
      <c r="I31" s="2"/>
      <c r="J31" s="3"/>
      <c r="K31" s="4"/>
      <c r="L31" s="2"/>
      <c r="M31" s="52">
        <v>-3.4000000000000002E-2</v>
      </c>
      <c r="N31" s="53">
        <v>-3.5000000000000003E-2</v>
      </c>
      <c r="O31" s="55"/>
      <c r="P31" s="57"/>
      <c r="Q31" s="55"/>
    </row>
    <row r="32" spans="1:17" ht="14.4" x14ac:dyDescent="0.3">
      <c r="B32" s="11">
        <f t="shared" si="1"/>
        <v>6</v>
      </c>
      <c r="C32" s="52"/>
      <c r="D32" s="53"/>
      <c r="E32" s="53"/>
      <c r="F32" s="53"/>
      <c r="G32" s="53"/>
      <c r="H32" s="54"/>
      <c r="I32" s="2"/>
      <c r="J32" s="3"/>
      <c r="K32" s="4"/>
      <c r="L32" s="2"/>
      <c r="M32" s="52">
        <v>-2E-3</v>
      </c>
      <c r="N32" s="53">
        <v>6.9999999999999993E-3</v>
      </c>
      <c r="O32" s="55"/>
      <c r="P32" s="57"/>
      <c r="Q32" s="55"/>
    </row>
    <row r="33" spans="1:17" ht="14.4" x14ac:dyDescent="0.3">
      <c r="B33" s="11">
        <f t="shared" si="1"/>
        <v>7</v>
      </c>
      <c r="C33" s="52"/>
      <c r="D33" s="53"/>
      <c r="E33" s="53"/>
      <c r="F33" s="53"/>
      <c r="G33" s="53"/>
      <c r="H33" s="54"/>
      <c r="I33" s="2"/>
      <c r="J33" s="3"/>
      <c r="K33" s="4"/>
      <c r="L33" s="2"/>
      <c r="M33" s="52">
        <v>9.0000000000000011E-3</v>
      </c>
      <c r="N33" s="53">
        <v>2.4E-2</v>
      </c>
      <c r="O33" s="55"/>
      <c r="P33" s="57"/>
      <c r="Q33" s="55"/>
    </row>
    <row r="34" spans="1:17" ht="14.4" x14ac:dyDescent="0.3">
      <c r="B34" s="11">
        <f t="shared" si="1"/>
        <v>8</v>
      </c>
      <c r="C34" s="52"/>
      <c r="D34" s="53"/>
      <c r="E34" s="53"/>
      <c r="F34" s="53"/>
      <c r="G34" s="53"/>
      <c r="H34" s="54"/>
      <c r="I34" s="2"/>
      <c r="J34" s="3"/>
      <c r="K34" s="4"/>
      <c r="L34" s="2"/>
      <c r="M34" s="52">
        <v>2.2000000000000002E-2</v>
      </c>
      <c r="N34" s="53">
        <v>4.4999999999999998E-2</v>
      </c>
      <c r="O34" s="55"/>
      <c r="P34" s="57"/>
      <c r="Q34" s="55"/>
    </row>
    <row r="35" spans="1:17" ht="14.4" x14ac:dyDescent="0.3">
      <c r="B35" s="11">
        <f t="shared" si="1"/>
        <v>9</v>
      </c>
      <c r="C35" s="52"/>
      <c r="D35" s="53"/>
      <c r="E35" s="53"/>
      <c r="F35" s="53"/>
      <c r="G35" s="53"/>
      <c r="H35" s="54"/>
      <c r="I35" s="2"/>
      <c r="J35" s="3"/>
      <c r="K35" s="4"/>
      <c r="L35" s="2"/>
      <c r="M35" s="52">
        <v>3.4000000000000002E-2</v>
      </c>
      <c r="N35" s="53">
        <v>3.3000000000000002E-2</v>
      </c>
      <c r="O35" s="55"/>
      <c r="P35" s="57"/>
      <c r="Q35" s="55"/>
    </row>
    <row r="36" spans="1:17" ht="14.4" x14ac:dyDescent="0.3">
      <c r="B36" s="11">
        <f t="shared" si="1"/>
        <v>10</v>
      </c>
      <c r="C36" s="52"/>
      <c r="D36" s="53"/>
      <c r="E36" s="53"/>
      <c r="F36" s="53"/>
      <c r="G36" s="53"/>
      <c r="H36" s="54"/>
      <c r="I36" s="2"/>
      <c r="J36" s="3"/>
      <c r="K36" s="4"/>
      <c r="L36" s="2"/>
      <c r="M36" s="52">
        <v>0.03</v>
      </c>
      <c r="N36" s="53">
        <v>2.2000000000000002E-2</v>
      </c>
      <c r="O36" s="55"/>
      <c r="P36" s="57"/>
      <c r="Q36" s="55"/>
    </row>
    <row r="37" spans="1:17" ht="14.4" x14ac:dyDescent="0.3">
      <c r="B37" s="11">
        <f t="shared" si="1"/>
        <v>11</v>
      </c>
      <c r="C37" s="52"/>
      <c r="D37" s="53"/>
      <c r="E37" s="53"/>
      <c r="F37" s="53"/>
      <c r="G37" s="53"/>
      <c r="H37" s="54"/>
      <c r="I37" s="2"/>
      <c r="J37" s="3"/>
      <c r="K37" s="4"/>
      <c r="L37" s="2"/>
      <c r="M37" s="52">
        <v>2.2000000000000002E-2</v>
      </c>
      <c r="N37" s="53">
        <v>2.4E-2</v>
      </c>
      <c r="O37" s="55"/>
      <c r="P37" s="57"/>
      <c r="Q37" s="55"/>
    </row>
    <row r="38" spans="1:17" ht="14.4" x14ac:dyDescent="0.3">
      <c r="B38" s="11">
        <f t="shared" si="1"/>
        <v>12</v>
      </c>
      <c r="C38" s="52"/>
      <c r="D38" s="53"/>
      <c r="E38" s="53"/>
      <c r="F38" s="53"/>
      <c r="G38" s="53"/>
      <c r="H38" s="54"/>
      <c r="I38" s="2"/>
      <c r="J38" s="3"/>
      <c r="K38" s="4"/>
      <c r="L38" s="2"/>
      <c r="M38" s="52">
        <v>1.7000000000000001E-2</v>
      </c>
      <c r="N38" s="53">
        <v>4.0000000000000001E-3</v>
      </c>
      <c r="O38" s="55"/>
      <c r="P38" s="57"/>
      <c r="Q38" s="55"/>
    </row>
    <row r="39" spans="1:17" ht="14.4" x14ac:dyDescent="0.3">
      <c r="A39" s="11">
        <f t="shared" ref="A39" si="3">A27+1</f>
        <v>2003</v>
      </c>
      <c r="B39" s="11">
        <f t="shared" si="1"/>
        <v>1</v>
      </c>
      <c r="C39" s="52"/>
      <c r="D39" s="53"/>
      <c r="E39" s="53"/>
      <c r="F39" s="53"/>
      <c r="G39" s="53"/>
      <c r="H39" s="54"/>
      <c r="I39" s="2"/>
      <c r="J39" s="3"/>
      <c r="K39" s="4"/>
      <c r="L39" s="2"/>
      <c r="M39" s="52">
        <v>1.7000000000000001E-2</v>
      </c>
      <c r="N39" s="53">
        <v>3.9E-2</v>
      </c>
      <c r="O39" s="55"/>
      <c r="P39" s="57"/>
      <c r="Q39" s="55"/>
    </row>
    <row r="40" spans="1:17" ht="14.4" x14ac:dyDescent="0.3">
      <c r="B40" s="11">
        <f t="shared" si="1"/>
        <v>2</v>
      </c>
      <c r="C40" s="52"/>
      <c r="D40" s="53"/>
      <c r="E40" s="53"/>
      <c r="F40" s="53"/>
      <c r="G40" s="53"/>
      <c r="H40" s="54"/>
      <c r="I40" s="2"/>
      <c r="J40" s="3"/>
      <c r="K40" s="4"/>
      <c r="L40" s="5">
        <v>-1.6831326612103702E-2</v>
      </c>
      <c r="M40" s="52">
        <v>0.02</v>
      </c>
      <c r="N40" s="53">
        <v>2.2000000000000002E-2</v>
      </c>
      <c r="O40" s="55"/>
      <c r="P40" s="57"/>
      <c r="Q40" s="58"/>
    </row>
    <row r="41" spans="1:17" ht="14.4" x14ac:dyDescent="0.3">
      <c r="B41" s="11">
        <f t="shared" si="1"/>
        <v>3</v>
      </c>
      <c r="C41" s="52"/>
      <c r="D41" s="53"/>
      <c r="E41" s="53"/>
      <c r="F41" s="53"/>
      <c r="G41" s="53"/>
      <c r="H41" s="54"/>
      <c r="I41" s="2"/>
      <c r="J41" s="3"/>
      <c r="K41" s="4"/>
      <c r="L41" s="5">
        <v>-0.50224963104857301</v>
      </c>
      <c r="M41" s="52">
        <v>0.05</v>
      </c>
      <c r="N41" s="53">
        <v>0.04</v>
      </c>
      <c r="O41" s="55"/>
      <c r="P41" s="57"/>
      <c r="Q41" s="58"/>
    </row>
    <row r="42" spans="1:17" ht="14.4" x14ac:dyDescent="0.3">
      <c r="B42" s="11">
        <f t="shared" si="1"/>
        <v>4</v>
      </c>
      <c r="C42" s="52"/>
      <c r="D42" s="53"/>
      <c r="E42" s="53"/>
      <c r="F42" s="53"/>
      <c r="G42" s="53"/>
      <c r="H42" s="54"/>
      <c r="I42" s="2"/>
      <c r="J42" s="3"/>
      <c r="K42" s="4"/>
      <c r="L42" s="5">
        <v>-6.5488151627272007E-2</v>
      </c>
      <c r="M42" s="52">
        <v>6.5000000000000002E-2</v>
      </c>
      <c r="N42" s="53">
        <v>4.5999999999999999E-2</v>
      </c>
      <c r="O42" s="55"/>
      <c r="P42" s="57"/>
      <c r="Q42" s="58"/>
    </row>
    <row r="43" spans="1:17" ht="14.4" x14ac:dyDescent="0.3">
      <c r="B43" s="11">
        <f t="shared" si="1"/>
        <v>5</v>
      </c>
      <c r="C43" s="52"/>
      <c r="D43" s="53"/>
      <c r="E43" s="53"/>
      <c r="F43" s="53"/>
      <c r="G43" s="53"/>
      <c r="H43" s="54"/>
      <c r="I43" s="2"/>
      <c r="J43" s="3"/>
      <c r="K43" s="4"/>
      <c r="L43" s="5">
        <v>9.8817447027722299E-2</v>
      </c>
      <c r="M43" s="52">
        <v>8.3000000000000004E-2</v>
      </c>
      <c r="N43" s="53">
        <v>6.2E-2</v>
      </c>
      <c r="O43" s="55"/>
      <c r="P43" s="57"/>
      <c r="Q43" s="58"/>
    </row>
    <row r="44" spans="1:17" ht="14.4" x14ac:dyDescent="0.3">
      <c r="B44" s="11">
        <f t="shared" si="1"/>
        <v>6</v>
      </c>
      <c r="C44" s="52"/>
      <c r="D44" s="53"/>
      <c r="E44" s="53"/>
      <c r="F44" s="53"/>
      <c r="G44" s="53"/>
      <c r="H44" s="54"/>
      <c r="I44" s="2"/>
      <c r="J44" s="3"/>
      <c r="K44" s="4"/>
      <c r="L44" s="5">
        <v>0.193719352895275</v>
      </c>
      <c r="M44" s="52">
        <v>6.6000000000000003E-2</v>
      </c>
      <c r="N44" s="53">
        <v>8.900000000000001E-2</v>
      </c>
      <c r="O44" s="55"/>
      <c r="P44" s="57"/>
      <c r="Q44" s="58"/>
    </row>
    <row r="45" spans="1:17" ht="14.4" x14ac:dyDescent="0.3">
      <c r="B45" s="11">
        <f t="shared" si="1"/>
        <v>7</v>
      </c>
      <c r="C45" s="52"/>
      <c r="D45" s="53"/>
      <c r="E45" s="53"/>
      <c r="F45" s="53"/>
      <c r="G45" s="53"/>
      <c r="H45" s="54"/>
      <c r="I45" s="2"/>
      <c r="J45" s="3"/>
      <c r="K45" s="4"/>
      <c r="L45" s="5">
        <v>6.0139218768519603E-2</v>
      </c>
      <c r="M45" s="52">
        <v>6.4000000000000001E-2</v>
      </c>
      <c r="N45" s="53">
        <v>7.9000000000000001E-2</v>
      </c>
      <c r="O45" s="55"/>
      <c r="P45" s="57"/>
      <c r="Q45" s="58"/>
    </row>
    <row r="46" spans="1:17" ht="14.4" x14ac:dyDescent="0.3">
      <c r="B46" s="11">
        <f t="shared" si="1"/>
        <v>8</v>
      </c>
      <c r="C46" s="52"/>
      <c r="D46" s="53"/>
      <c r="E46" s="53"/>
      <c r="F46" s="53"/>
      <c r="G46" s="53"/>
      <c r="H46" s="54"/>
      <c r="I46" s="2"/>
      <c r="J46" s="3"/>
      <c r="K46" s="4"/>
      <c r="L46" s="5">
        <v>8.8858043459798003E-2</v>
      </c>
      <c r="M46" s="52">
        <v>4.4000000000000004E-2</v>
      </c>
      <c r="N46" s="53">
        <v>8.5999999999999993E-2</v>
      </c>
      <c r="O46" s="55"/>
      <c r="P46" s="57"/>
      <c r="Q46" s="58"/>
    </row>
    <row r="47" spans="1:17" ht="14.4" x14ac:dyDescent="0.3">
      <c r="B47" s="11">
        <f t="shared" si="1"/>
        <v>9</v>
      </c>
      <c r="C47" s="52"/>
      <c r="D47" s="53"/>
      <c r="E47" s="53"/>
      <c r="F47" s="53"/>
      <c r="G47" s="53"/>
      <c r="H47" s="54"/>
      <c r="I47" s="2"/>
      <c r="J47" s="3"/>
      <c r="K47" s="4"/>
      <c r="L47" s="5">
        <v>2.0815232432109501E-3</v>
      </c>
      <c r="M47" s="52">
        <v>5.2999999999999999E-2</v>
      </c>
      <c r="N47" s="53">
        <v>4.2999999999999997E-2</v>
      </c>
      <c r="O47" s="55"/>
      <c r="P47" s="57"/>
      <c r="Q47" s="58"/>
    </row>
    <row r="48" spans="1:17" ht="14.4" x14ac:dyDescent="0.3">
      <c r="B48" s="11">
        <f t="shared" si="1"/>
        <v>10</v>
      </c>
      <c r="C48" s="52"/>
      <c r="D48" s="53"/>
      <c r="E48" s="53"/>
      <c r="F48" s="53"/>
      <c r="G48" s="53"/>
      <c r="H48" s="54"/>
      <c r="I48" s="2"/>
      <c r="J48" s="3"/>
      <c r="K48" s="4"/>
      <c r="L48" s="5">
        <v>0.138737180320194</v>
      </c>
      <c r="M48" s="52">
        <v>5.4000000000000006E-2</v>
      </c>
      <c r="N48" s="53">
        <v>4.4999999999999998E-2</v>
      </c>
      <c r="O48" s="55"/>
      <c r="P48" s="57"/>
      <c r="Q48" s="58"/>
    </row>
    <row r="49" spans="1:17" ht="14.4" x14ac:dyDescent="0.3">
      <c r="B49" s="11">
        <f t="shared" si="1"/>
        <v>11</v>
      </c>
      <c r="C49" s="52"/>
      <c r="D49" s="53"/>
      <c r="E49" s="53"/>
      <c r="F49" s="53"/>
      <c r="G49" s="53"/>
      <c r="H49" s="54"/>
      <c r="I49" s="2"/>
      <c r="J49" s="3"/>
      <c r="K49" s="4"/>
      <c r="L49" s="5">
        <v>8.1391962406253598E-2</v>
      </c>
      <c r="M49" s="52">
        <v>0.05</v>
      </c>
      <c r="N49" s="53">
        <v>5.5999999999999994E-2</v>
      </c>
      <c r="O49" s="55"/>
      <c r="P49" s="57"/>
      <c r="Q49" s="58"/>
    </row>
    <row r="50" spans="1:17" ht="14.4" x14ac:dyDescent="0.3">
      <c r="B50" s="11">
        <f t="shared" si="1"/>
        <v>12</v>
      </c>
      <c r="C50" s="52"/>
      <c r="D50" s="53"/>
      <c r="E50" s="53"/>
      <c r="F50" s="53"/>
      <c r="G50" s="53"/>
      <c r="H50" s="54"/>
      <c r="I50" s="2"/>
      <c r="J50" s="3"/>
      <c r="K50" s="4"/>
      <c r="L50" s="5">
        <v>0.11335857510166</v>
      </c>
      <c r="M50" s="52">
        <v>4.7E-2</v>
      </c>
      <c r="N50" s="53">
        <v>3.7999999999999999E-2</v>
      </c>
      <c r="O50" s="55"/>
      <c r="P50" s="57"/>
      <c r="Q50" s="58"/>
    </row>
    <row r="51" spans="1:17" ht="14.4" x14ac:dyDescent="0.3">
      <c r="A51" s="11">
        <f t="shared" ref="A51" si="4">A39+1</f>
        <v>2004</v>
      </c>
      <c r="B51" s="11">
        <f t="shared" si="1"/>
        <v>1</v>
      </c>
      <c r="C51" s="52"/>
      <c r="D51" s="53"/>
      <c r="E51" s="53"/>
      <c r="F51" s="53"/>
      <c r="G51" s="53"/>
      <c r="H51" s="54"/>
      <c r="I51" s="2"/>
      <c r="J51" s="3"/>
      <c r="K51" s="4"/>
      <c r="L51" s="5">
        <v>-0.19583351103781799</v>
      </c>
      <c r="M51" s="52">
        <v>5.7999999999999996E-2</v>
      </c>
      <c r="N51" s="53">
        <v>7.0000000000000007E-2</v>
      </c>
      <c r="O51" s="55"/>
      <c r="P51" s="57"/>
      <c r="Q51" s="58"/>
    </row>
    <row r="52" spans="1:17" ht="14.4" x14ac:dyDescent="0.3">
      <c r="B52" s="11">
        <f t="shared" si="1"/>
        <v>2</v>
      </c>
      <c r="C52" s="52"/>
      <c r="D52" s="53"/>
      <c r="E52" s="53"/>
      <c r="F52" s="53"/>
      <c r="G52" s="53"/>
      <c r="H52" s="54"/>
      <c r="I52" s="2"/>
      <c r="J52" s="3"/>
      <c r="K52" s="4"/>
      <c r="L52" s="5">
        <v>-2.3903111365073899E-2</v>
      </c>
      <c r="M52" s="52">
        <v>6.8000000000000005E-2</v>
      </c>
      <c r="N52" s="53">
        <v>0.06</v>
      </c>
      <c r="O52" s="55"/>
      <c r="P52" s="57"/>
      <c r="Q52" s="58"/>
    </row>
    <row r="53" spans="1:17" ht="14.4" x14ac:dyDescent="0.3">
      <c r="B53" s="11">
        <f t="shared" si="1"/>
        <v>3</v>
      </c>
      <c r="C53" s="52"/>
      <c r="D53" s="53"/>
      <c r="E53" s="53"/>
      <c r="F53" s="53"/>
      <c r="G53" s="53"/>
      <c r="H53" s="54"/>
      <c r="I53" s="2"/>
      <c r="J53" s="3"/>
      <c r="K53" s="4"/>
      <c r="L53" s="5">
        <v>0.17957299605573701</v>
      </c>
      <c r="M53" s="52">
        <v>6.2E-2</v>
      </c>
      <c r="N53" s="53">
        <v>5.7999999999999996E-2</v>
      </c>
      <c r="O53" s="55"/>
      <c r="P53" s="57"/>
      <c r="Q53" s="58"/>
    </row>
    <row r="54" spans="1:17" ht="14.4" x14ac:dyDescent="0.3">
      <c r="B54" s="11">
        <f t="shared" si="1"/>
        <v>4</v>
      </c>
      <c r="C54" s="52"/>
      <c r="D54" s="53"/>
      <c r="E54" s="53"/>
      <c r="F54" s="53"/>
      <c r="G54" s="53"/>
      <c r="H54" s="54"/>
      <c r="I54" s="2"/>
      <c r="J54" s="3"/>
      <c r="K54" s="4"/>
      <c r="L54" s="5">
        <v>3.7810413654216099E-2</v>
      </c>
      <c r="M54" s="52">
        <v>4.8000000000000001E-2</v>
      </c>
      <c r="N54" s="53">
        <v>4.4000000000000004E-2</v>
      </c>
      <c r="O54" s="55"/>
      <c r="P54" s="57"/>
      <c r="Q54" s="58"/>
    </row>
    <row r="55" spans="1:17" ht="14.4" x14ac:dyDescent="0.3">
      <c r="B55" s="11">
        <f t="shared" si="1"/>
        <v>5</v>
      </c>
      <c r="C55" s="52"/>
      <c r="D55" s="53"/>
      <c r="E55" s="53"/>
      <c r="F55" s="53"/>
      <c r="G55" s="53"/>
      <c r="H55" s="54"/>
      <c r="I55" s="2"/>
      <c r="J55" s="3"/>
      <c r="K55" s="4"/>
      <c r="L55" s="5">
        <v>0.10715160579152599</v>
      </c>
      <c r="M55" s="52">
        <v>0.03</v>
      </c>
      <c r="N55" s="53">
        <v>2.8999999999999998E-2</v>
      </c>
      <c r="O55" s="55"/>
      <c r="P55" s="57"/>
      <c r="Q55" s="58"/>
    </row>
    <row r="56" spans="1:17" ht="14.4" x14ac:dyDescent="0.3">
      <c r="B56" s="11">
        <f t="shared" si="1"/>
        <v>6</v>
      </c>
      <c r="C56" s="52"/>
      <c r="D56" s="53"/>
      <c r="E56" s="53"/>
      <c r="F56" s="53"/>
      <c r="G56" s="53"/>
      <c r="H56" s="54"/>
      <c r="I56" s="2"/>
      <c r="J56" s="3"/>
      <c r="K56" s="4"/>
      <c r="L56" s="5">
        <v>2.2643147959938E-2</v>
      </c>
      <c r="M56" s="52">
        <v>5.2999999999999999E-2</v>
      </c>
      <c r="N56" s="53">
        <v>5.5E-2</v>
      </c>
      <c r="O56" s="55"/>
      <c r="P56" s="57"/>
      <c r="Q56" s="58"/>
    </row>
    <row r="57" spans="1:17" ht="14.4" x14ac:dyDescent="0.3">
      <c r="B57" s="11">
        <f t="shared" si="1"/>
        <v>7</v>
      </c>
      <c r="C57" s="52"/>
      <c r="D57" s="53"/>
      <c r="E57" s="53"/>
      <c r="F57" s="53"/>
      <c r="G57" s="53"/>
      <c r="H57" s="54"/>
      <c r="I57" s="2"/>
      <c r="J57" s="3"/>
      <c r="K57" s="4"/>
      <c r="L57" s="5">
        <v>6.0290981528702603E-2</v>
      </c>
      <c r="M57" s="52">
        <v>8.3000000000000004E-2</v>
      </c>
      <c r="N57" s="53">
        <v>6.9000000000000006E-2</v>
      </c>
      <c r="O57" s="55"/>
      <c r="P57" s="57"/>
      <c r="Q57" s="58"/>
    </row>
    <row r="58" spans="1:17" ht="14.4" x14ac:dyDescent="0.3">
      <c r="B58" s="11">
        <f t="shared" si="1"/>
        <v>8</v>
      </c>
      <c r="C58" s="52"/>
      <c r="D58" s="53"/>
      <c r="E58" s="53"/>
      <c r="F58" s="53"/>
      <c r="G58" s="53"/>
      <c r="H58" s="54"/>
      <c r="I58" s="2"/>
      <c r="J58" s="3"/>
      <c r="K58" s="4"/>
      <c r="L58" s="5">
        <v>8.4411738102608602E-2</v>
      </c>
      <c r="M58" s="52">
        <v>0.13100000000000001</v>
      </c>
      <c r="N58" s="53">
        <v>0.122</v>
      </c>
      <c r="O58" s="55"/>
      <c r="P58" s="57"/>
      <c r="Q58" s="58"/>
    </row>
    <row r="59" spans="1:17" ht="14.4" x14ac:dyDescent="0.3">
      <c r="B59" s="11">
        <f t="shared" si="1"/>
        <v>9</v>
      </c>
      <c r="C59" s="52"/>
      <c r="D59" s="53"/>
      <c r="E59" s="53"/>
      <c r="F59" s="53"/>
      <c r="G59" s="53"/>
      <c r="H59" s="54"/>
      <c r="I59" s="2"/>
      <c r="J59" s="3"/>
      <c r="K59" s="4"/>
      <c r="L59" s="5">
        <v>0.12957053638649199</v>
      </c>
      <c r="M59" s="52">
        <v>0.126</v>
      </c>
      <c r="N59" s="53">
        <v>0.113</v>
      </c>
      <c r="O59" s="55"/>
      <c r="P59" s="57"/>
      <c r="Q59" s="58"/>
    </row>
    <row r="60" spans="1:17" ht="14.4" x14ac:dyDescent="0.3">
      <c r="B60" s="11">
        <f t="shared" si="1"/>
        <v>10</v>
      </c>
      <c r="C60" s="52"/>
      <c r="D60" s="53"/>
      <c r="E60" s="53"/>
      <c r="F60" s="53"/>
      <c r="G60" s="53"/>
      <c r="H60" s="54"/>
      <c r="I60" s="2"/>
      <c r="J60" s="3"/>
      <c r="K60" s="4"/>
      <c r="L60" s="5">
        <v>0.11820734441038799</v>
      </c>
      <c r="M60" s="52">
        <v>0.11699999999999999</v>
      </c>
      <c r="N60" s="53">
        <v>0.11</v>
      </c>
      <c r="O60" s="55"/>
      <c r="P60" s="57"/>
      <c r="Q60" s="58"/>
    </row>
    <row r="61" spans="1:17" ht="14.4" x14ac:dyDescent="0.3">
      <c r="B61" s="11">
        <f t="shared" si="1"/>
        <v>11</v>
      </c>
      <c r="C61" s="52"/>
      <c r="D61" s="53"/>
      <c r="E61" s="53"/>
      <c r="F61" s="53"/>
      <c r="G61" s="53"/>
      <c r="H61" s="54"/>
      <c r="I61" s="2"/>
      <c r="J61" s="3"/>
      <c r="K61" s="4"/>
      <c r="L61" s="5">
        <v>5.1654834991653797E-2</v>
      </c>
      <c r="M61" s="52">
        <v>0.113</v>
      </c>
      <c r="N61" s="53">
        <v>0.11599999999999999</v>
      </c>
      <c r="O61" s="55"/>
      <c r="P61" s="57"/>
      <c r="Q61" s="58"/>
    </row>
    <row r="62" spans="1:17" ht="14.4" x14ac:dyDescent="0.3">
      <c r="B62" s="11">
        <f t="shared" si="1"/>
        <v>12</v>
      </c>
      <c r="C62" s="52"/>
      <c r="D62" s="53"/>
      <c r="E62" s="53"/>
      <c r="F62" s="53"/>
      <c r="G62" s="53"/>
      <c r="H62" s="54"/>
      <c r="I62" s="2"/>
      <c r="J62" s="3"/>
      <c r="K62" s="4"/>
      <c r="L62" s="5">
        <v>0.13374263190130201</v>
      </c>
      <c r="M62" s="52">
        <v>0.11</v>
      </c>
      <c r="N62" s="53">
        <v>9.6999999999999989E-2</v>
      </c>
      <c r="O62" s="55"/>
      <c r="P62" s="57"/>
      <c r="Q62" s="58"/>
    </row>
    <row r="63" spans="1:17" ht="14.4" x14ac:dyDescent="0.3">
      <c r="A63" s="11">
        <f t="shared" ref="A63" si="5">A51+1</f>
        <v>2005</v>
      </c>
      <c r="B63" s="11">
        <f t="shared" si="1"/>
        <v>1</v>
      </c>
      <c r="C63" s="52"/>
      <c r="D63" s="53"/>
      <c r="E63" s="53"/>
      <c r="F63" s="53"/>
      <c r="G63" s="53"/>
      <c r="H63" s="54"/>
      <c r="I63" s="2"/>
      <c r="J63" s="3"/>
      <c r="K63" s="4"/>
      <c r="L63" s="5">
        <v>0.21153775838422501</v>
      </c>
      <c r="M63" s="52">
        <v>0.11599999999999999</v>
      </c>
      <c r="N63" s="53">
        <v>0.11599999999999999</v>
      </c>
      <c r="O63" s="55"/>
      <c r="P63" s="57"/>
      <c r="Q63" s="58"/>
    </row>
    <row r="64" spans="1:17" ht="14.4" x14ac:dyDescent="0.3">
      <c r="B64" s="11">
        <f t="shared" si="1"/>
        <v>2</v>
      </c>
      <c r="C64" s="52"/>
      <c r="D64" s="53"/>
      <c r="E64" s="53"/>
      <c r="F64" s="53"/>
      <c r="G64" s="53"/>
      <c r="H64" s="54"/>
      <c r="I64" s="2"/>
      <c r="J64" s="3"/>
      <c r="K64" s="4"/>
      <c r="L64" s="5">
        <v>0.18024940538899001</v>
      </c>
      <c r="M64" s="52">
        <v>0.13</v>
      </c>
      <c r="N64" s="53">
        <v>0.10300000000000001</v>
      </c>
      <c r="O64" s="55"/>
      <c r="P64" s="57"/>
      <c r="Q64" s="58"/>
    </row>
    <row r="65" spans="1:17" ht="14.4" x14ac:dyDescent="0.3">
      <c r="B65" s="11">
        <f t="shared" si="1"/>
        <v>3</v>
      </c>
      <c r="C65" s="52"/>
      <c r="D65" s="53"/>
      <c r="E65" s="53"/>
      <c r="F65" s="53"/>
      <c r="G65" s="53"/>
      <c r="H65" s="54"/>
      <c r="I65" s="2"/>
      <c r="J65" s="3"/>
      <c r="K65" s="4"/>
      <c r="L65" s="5">
        <v>0.11274218649587101</v>
      </c>
      <c r="M65" s="52">
        <v>0.125</v>
      </c>
      <c r="N65" s="53">
        <v>0.11900000000000001</v>
      </c>
      <c r="O65" s="55"/>
      <c r="P65" s="57"/>
      <c r="Q65" s="58"/>
    </row>
    <row r="66" spans="1:17" ht="14.4" x14ac:dyDescent="0.3">
      <c r="B66" s="11">
        <f t="shared" si="1"/>
        <v>4</v>
      </c>
      <c r="C66" s="52"/>
      <c r="D66" s="53"/>
      <c r="E66" s="53"/>
      <c r="F66" s="53"/>
      <c r="G66" s="53"/>
      <c r="H66" s="54"/>
      <c r="I66" s="2"/>
      <c r="J66" s="3"/>
      <c r="K66" s="4"/>
      <c r="L66" s="5">
        <v>-0.219884918960919</v>
      </c>
      <c r="M66" s="52">
        <v>0.14599999999999999</v>
      </c>
      <c r="N66" s="53">
        <v>0.114</v>
      </c>
      <c r="O66" s="55"/>
      <c r="P66" s="57"/>
      <c r="Q66" s="58"/>
    </row>
    <row r="67" spans="1:17" ht="14.4" x14ac:dyDescent="0.3">
      <c r="B67" s="11">
        <f t="shared" si="1"/>
        <v>5</v>
      </c>
      <c r="C67" s="52"/>
      <c r="D67" s="53"/>
      <c r="E67" s="53"/>
      <c r="F67" s="53"/>
      <c r="G67" s="53"/>
      <c r="H67" s="54"/>
      <c r="I67" s="2"/>
      <c r="J67" s="3"/>
      <c r="K67" s="4"/>
      <c r="L67" s="5">
        <v>-0.26293093100014098</v>
      </c>
      <c r="M67" s="52">
        <v>0.156</v>
      </c>
      <c r="N67" s="53">
        <v>0.13600000000000001</v>
      </c>
      <c r="O67" s="55"/>
      <c r="P67" s="57"/>
      <c r="Q67" s="58"/>
    </row>
    <row r="68" spans="1:17" ht="14.4" x14ac:dyDescent="0.3">
      <c r="B68" s="11">
        <f t="shared" si="1"/>
        <v>6</v>
      </c>
      <c r="C68" s="52"/>
      <c r="D68" s="53"/>
      <c r="E68" s="53"/>
      <c r="F68" s="53"/>
      <c r="G68" s="53"/>
      <c r="H68" s="54"/>
      <c r="I68" s="2"/>
      <c r="J68" s="3"/>
      <c r="K68" s="4"/>
      <c r="L68" s="5">
        <v>-0.177300351301382</v>
      </c>
      <c r="M68" s="52">
        <v>0.17800000000000002</v>
      </c>
      <c r="N68" s="53">
        <v>0.14800000000000002</v>
      </c>
      <c r="O68" s="55"/>
      <c r="P68" s="57"/>
      <c r="Q68" s="58"/>
    </row>
    <row r="69" spans="1:17" ht="14.4" x14ac:dyDescent="0.3">
      <c r="B69" s="11">
        <f t="shared" si="1"/>
        <v>7</v>
      </c>
      <c r="C69" s="52"/>
      <c r="D69" s="53"/>
      <c r="E69" s="53"/>
      <c r="F69" s="53"/>
      <c r="G69" s="53"/>
      <c r="H69" s="54"/>
      <c r="I69" s="2"/>
      <c r="J69" s="3"/>
      <c r="K69" s="4"/>
      <c r="L69" s="5">
        <v>-4.7832831252520698E-2</v>
      </c>
      <c r="M69" s="52">
        <v>0.159</v>
      </c>
      <c r="N69" s="53">
        <v>0.153</v>
      </c>
      <c r="O69" s="55"/>
      <c r="P69" s="57"/>
      <c r="Q69" s="58"/>
    </row>
    <row r="70" spans="1:17" ht="14.4" x14ac:dyDescent="0.3">
      <c r="B70" s="11">
        <f t="shared" si="1"/>
        <v>8</v>
      </c>
      <c r="C70" s="52"/>
      <c r="D70" s="53"/>
      <c r="E70" s="53"/>
      <c r="F70" s="53"/>
      <c r="G70" s="53"/>
      <c r="H70" s="54"/>
      <c r="I70" s="2"/>
      <c r="J70" s="3"/>
      <c r="K70" s="4"/>
      <c r="L70" s="5">
        <v>3.7732261833790297E-2</v>
      </c>
      <c r="M70" s="52">
        <v>0.11699999999999999</v>
      </c>
      <c r="N70" s="53">
        <v>0.14699999999999999</v>
      </c>
      <c r="O70" s="55"/>
      <c r="P70" s="57"/>
      <c r="Q70" s="58"/>
    </row>
    <row r="71" spans="1:17" ht="14.4" x14ac:dyDescent="0.3">
      <c r="B71" s="11">
        <f t="shared" si="1"/>
        <v>9</v>
      </c>
      <c r="C71" s="52"/>
      <c r="D71" s="53"/>
      <c r="E71" s="53"/>
      <c r="F71" s="53"/>
      <c r="G71" s="53"/>
      <c r="H71" s="54"/>
      <c r="I71" s="2"/>
      <c r="J71" s="3"/>
      <c r="K71" s="4"/>
      <c r="L71" s="5">
        <v>6.8589703983482797E-2</v>
      </c>
      <c r="M71" s="52">
        <v>0.11599999999999999</v>
      </c>
      <c r="N71" s="53">
        <v>0.107</v>
      </c>
      <c r="O71" s="55"/>
      <c r="P71" s="57"/>
      <c r="Q71" s="58"/>
    </row>
    <row r="72" spans="1:17" ht="14.4" x14ac:dyDescent="0.3">
      <c r="B72" s="11">
        <f t="shared" si="1"/>
        <v>10</v>
      </c>
      <c r="C72" s="52"/>
      <c r="D72" s="53"/>
      <c r="E72" s="53"/>
      <c r="F72" s="53"/>
      <c r="G72" s="53"/>
      <c r="H72" s="54"/>
      <c r="I72" s="2"/>
      <c r="J72" s="3"/>
      <c r="K72" s="4"/>
      <c r="L72" s="5">
        <v>0.157084358180235</v>
      </c>
      <c r="M72" s="52">
        <v>9.6999999999999989E-2</v>
      </c>
      <c r="N72" s="53">
        <v>0.11</v>
      </c>
      <c r="O72" s="55"/>
      <c r="P72" s="57"/>
      <c r="Q72" s="58"/>
    </row>
    <row r="73" spans="1:17" ht="14.4" x14ac:dyDescent="0.3">
      <c r="B73" s="11">
        <f t="shared" si="1"/>
        <v>11</v>
      </c>
      <c r="C73" s="52"/>
      <c r="D73" s="53"/>
      <c r="E73" s="53"/>
      <c r="F73" s="53"/>
      <c r="G73" s="53"/>
      <c r="H73" s="54"/>
      <c r="I73" s="2"/>
      <c r="J73" s="3"/>
      <c r="K73" s="4"/>
      <c r="L73" s="5">
        <v>-2.1829488690457199E-2</v>
      </c>
      <c r="M73" s="52">
        <v>8.900000000000001E-2</v>
      </c>
      <c r="N73" s="53">
        <v>0.10300000000000001</v>
      </c>
      <c r="O73" s="55"/>
      <c r="P73" s="57"/>
      <c r="Q73" s="58"/>
    </row>
    <row r="74" spans="1:17" ht="14.4" x14ac:dyDescent="0.3">
      <c r="B74" s="11">
        <f t="shared" si="1"/>
        <v>12</v>
      </c>
      <c r="C74" s="52"/>
      <c r="D74" s="53"/>
      <c r="E74" s="53"/>
      <c r="F74" s="53"/>
      <c r="G74" s="53"/>
      <c r="H74" s="54"/>
      <c r="I74" s="2"/>
      <c r="J74" s="3"/>
      <c r="K74" s="4"/>
      <c r="L74" s="5">
        <v>7.4454359679547499E-2</v>
      </c>
      <c r="M74" s="52">
        <v>9.4E-2</v>
      </c>
      <c r="N74" s="53">
        <v>7.9000000000000001E-2</v>
      </c>
      <c r="O74" s="55"/>
      <c r="P74" s="57"/>
      <c r="Q74" s="58"/>
    </row>
    <row r="75" spans="1:17" ht="14.4" x14ac:dyDescent="0.3">
      <c r="A75" s="11">
        <f t="shared" ref="A75" si="6">A63+1</f>
        <v>2006</v>
      </c>
      <c r="B75" s="11">
        <f t="shared" si="1"/>
        <v>1</v>
      </c>
      <c r="C75" s="52"/>
      <c r="D75" s="53"/>
      <c r="E75" s="53"/>
      <c r="F75" s="53"/>
      <c r="G75" s="53"/>
      <c r="H75" s="54"/>
      <c r="I75" s="2"/>
      <c r="J75" s="6">
        <v>12.166836847946726</v>
      </c>
      <c r="K75" s="4"/>
      <c r="L75" s="5">
        <v>-0.12590309725405899</v>
      </c>
      <c r="M75" s="52">
        <v>8.900000000000001E-2</v>
      </c>
      <c r="N75" s="53">
        <v>9.8000000000000004E-2</v>
      </c>
      <c r="O75" s="55"/>
      <c r="P75" s="57"/>
      <c r="Q75" s="58"/>
    </row>
    <row r="76" spans="1:17" ht="14.4" x14ac:dyDescent="0.3">
      <c r="B76" s="11">
        <f t="shared" si="1"/>
        <v>2</v>
      </c>
      <c r="C76" s="52"/>
      <c r="D76" s="53"/>
      <c r="E76" s="53"/>
      <c r="F76" s="53"/>
      <c r="G76" s="53"/>
      <c r="H76" s="54"/>
      <c r="I76" s="2"/>
      <c r="J76" s="6">
        <v>6.8059352142110896</v>
      </c>
      <c r="K76" s="4"/>
      <c r="L76" s="5">
        <v>1.8654314428529599E-2</v>
      </c>
      <c r="M76" s="52">
        <v>6.2E-2</v>
      </c>
      <c r="N76" s="53">
        <v>6.7000000000000004E-2</v>
      </c>
      <c r="O76" s="55"/>
      <c r="P76" s="57"/>
      <c r="Q76" s="58"/>
    </row>
    <row r="77" spans="1:17" ht="14.4" x14ac:dyDescent="0.3">
      <c r="B77" s="11">
        <f t="shared" si="1"/>
        <v>3</v>
      </c>
      <c r="C77" s="52"/>
      <c r="D77" s="53"/>
      <c r="E77" s="53"/>
      <c r="F77" s="53"/>
      <c r="G77" s="53"/>
      <c r="H77" s="54"/>
      <c r="I77" s="2"/>
      <c r="J77" s="6">
        <v>5.4928348909657529</v>
      </c>
      <c r="K77" s="4"/>
      <c r="L77" s="5">
        <v>-0.15522617568179001</v>
      </c>
      <c r="M77" s="52">
        <v>5.5E-2</v>
      </c>
      <c r="N77" s="53">
        <v>6.2E-2</v>
      </c>
      <c r="O77" s="55"/>
      <c r="P77" s="57"/>
      <c r="Q77" s="58"/>
    </row>
    <row r="78" spans="1:17" ht="14.4" x14ac:dyDescent="0.3">
      <c r="B78" s="11">
        <f t="shared" si="1"/>
        <v>4</v>
      </c>
      <c r="C78" s="52"/>
      <c r="D78" s="53"/>
      <c r="E78" s="53"/>
      <c r="F78" s="53"/>
      <c r="G78" s="53"/>
      <c r="H78" s="54"/>
      <c r="I78" s="2"/>
      <c r="J78" s="6">
        <v>1.4701754385965131</v>
      </c>
      <c r="K78" s="4"/>
      <c r="L78" s="5">
        <v>0.17185260515964701</v>
      </c>
      <c r="M78" s="52">
        <v>4.5999999999999999E-2</v>
      </c>
      <c r="N78" s="53">
        <v>3.2000000000000001E-2</v>
      </c>
      <c r="O78" s="55"/>
      <c r="P78" s="57"/>
      <c r="Q78" s="58"/>
    </row>
    <row r="79" spans="1:17" ht="14.4" x14ac:dyDescent="0.3">
      <c r="B79" s="11">
        <f t="shared" si="1"/>
        <v>5</v>
      </c>
      <c r="C79" s="52"/>
      <c r="D79" s="53"/>
      <c r="E79" s="53"/>
      <c r="F79" s="53"/>
      <c r="G79" s="53"/>
      <c r="H79" s="54"/>
      <c r="I79" s="2"/>
      <c r="J79" s="6">
        <v>-1.7470112781955009</v>
      </c>
      <c r="K79" s="4"/>
      <c r="L79" s="5">
        <v>0.17823082551494199</v>
      </c>
      <c r="M79" s="52">
        <v>3.2000000000000001E-2</v>
      </c>
      <c r="N79" s="53">
        <v>3.6000000000000004E-2</v>
      </c>
      <c r="O79" s="55"/>
      <c r="P79" s="57"/>
      <c r="Q79" s="58"/>
    </row>
    <row r="80" spans="1:17" ht="14.4" x14ac:dyDescent="0.3">
      <c r="B80" s="11">
        <f t="shared" ref="B80:B143" si="7">B68</f>
        <v>6</v>
      </c>
      <c r="C80" s="52"/>
      <c r="D80" s="53"/>
      <c r="E80" s="53"/>
      <c r="F80" s="53"/>
      <c r="G80" s="53"/>
      <c r="H80" s="54"/>
      <c r="I80" s="2"/>
      <c r="J80" s="6">
        <v>-4.4609205776173155</v>
      </c>
      <c r="K80" s="4"/>
      <c r="L80" s="5">
        <v>4.1495068686918601E-2</v>
      </c>
      <c r="M80" s="52">
        <v>2.1000000000000001E-2</v>
      </c>
      <c r="N80" s="53">
        <v>1.4999999999999999E-2</v>
      </c>
      <c r="O80" s="55"/>
      <c r="P80" s="57"/>
      <c r="Q80" s="58"/>
    </row>
    <row r="81" spans="1:17" ht="14.4" x14ac:dyDescent="0.3">
      <c r="B81" s="11">
        <f t="shared" si="7"/>
        <v>7</v>
      </c>
      <c r="C81" s="52"/>
      <c r="D81" s="53"/>
      <c r="E81" s="53"/>
      <c r="F81" s="53"/>
      <c r="G81" s="53"/>
      <c r="H81" s="54"/>
      <c r="I81" s="2"/>
      <c r="J81" s="6">
        <v>-5.224956014362661</v>
      </c>
      <c r="K81" s="4"/>
      <c r="L81" s="5">
        <v>7.9104898271038199E-2</v>
      </c>
      <c r="M81" s="52">
        <v>1.9E-2</v>
      </c>
      <c r="N81" s="53">
        <v>2.6000000000000002E-2</v>
      </c>
      <c r="O81" s="55"/>
      <c r="P81" s="57"/>
      <c r="Q81" s="58"/>
    </row>
    <row r="82" spans="1:17" ht="14.4" x14ac:dyDescent="0.3">
      <c r="B82" s="11">
        <f t="shared" si="7"/>
        <v>8</v>
      </c>
      <c r="C82" s="52"/>
      <c r="D82" s="53"/>
      <c r="E82" s="53"/>
      <c r="F82" s="53"/>
      <c r="G82" s="53"/>
      <c r="H82" s="54"/>
      <c r="I82" s="2"/>
      <c r="J82" s="6">
        <v>1.5602038834951344</v>
      </c>
      <c r="K82" s="4"/>
      <c r="L82" s="5">
        <v>-5.4385417636969302E-3</v>
      </c>
      <c r="M82" s="52">
        <v>4.8000000000000001E-2</v>
      </c>
      <c r="N82" s="53">
        <v>5.4000000000000006E-2</v>
      </c>
      <c r="O82" s="55"/>
      <c r="P82" s="57"/>
      <c r="Q82" s="58"/>
    </row>
    <row r="83" spans="1:17" ht="14.4" x14ac:dyDescent="0.3">
      <c r="B83" s="11">
        <f t="shared" si="7"/>
        <v>9</v>
      </c>
      <c r="C83" s="52"/>
      <c r="D83" s="53"/>
      <c r="E83" s="53"/>
      <c r="F83" s="53"/>
      <c r="G83" s="53"/>
      <c r="H83" s="54"/>
      <c r="I83" s="2"/>
      <c r="J83" s="6">
        <v>4.2960500000000224</v>
      </c>
      <c r="K83" s="4"/>
      <c r="L83" s="5">
        <v>0.147638237825549</v>
      </c>
      <c r="M83" s="52">
        <v>0.05</v>
      </c>
      <c r="N83" s="53">
        <v>4.2000000000000003E-2</v>
      </c>
      <c r="O83" s="55"/>
      <c r="P83" s="57"/>
      <c r="Q83" s="58"/>
    </row>
    <row r="84" spans="1:17" ht="14.4" x14ac:dyDescent="0.3">
      <c r="B84" s="11">
        <f t="shared" si="7"/>
        <v>10</v>
      </c>
      <c r="C84" s="52"/>
      <c r="D84" s="53"/>
      <c r="E84" s="53"/>
      <c r="F84" s="53"/>
      <c r="G84" s="53"/>
      <c r="H84" s="54"/>
      <c r="I84" s="2"/>
      <c r="J84" s="6">
        <v>7.7817409326425064</v>
      </c>
      <c r="K84" s="4"/>
      <c r="L84" s="5">
        <v>2.0051543696736601E-2</v>
      </c>
      <c r="M84" s="52">
        <v>6.6000000000000003E-2</v>
      </c>
      <c r="N84" s="53">
        <v>6.5000000000000002E-2</v>
      </c>
      <c r="O84" s="55"/>
      <c r="P84" s="57"/>
      <c r="Q84" s="58"/>
    </row>
    <row r="85" spans="1:17" ht="14.4" x14ac:dyDescent="0.3">
      <c r="B85" s="11">
        <f t="shared" si="7"/>
        <v>11</v>
      </c>
      <c r="C85" s="52"/>
      <c r="D85" s="53"/>
      <c r="E85" s="53"/>
      <c r="F85" s="53"/>
      <c r="G85" s="53"/>
      <c r="H85" s="54"/>
      <c r="I85" s="2"/>
      <c r="J85" s="6">
        <v>7.6984313725490239</v>
      </c>
      <c r="K85" s="4"/>
      <c r="L85" s="5">
        <v>4.1034222169867497E-2</v>
      </c>
      <c r="M85" s="52">
        <v>6.8000000000000005E-2</v>
      </c>
      <c r="N85" s="53">
        <v>0.08</v>
      </c>
      <c r="O85" s="55"/>
      <c r="P85" s="57"/>
      <c r="Q85" s="58"/>
    </row>
    <row r="86" spans="1:17" ht="14.4" x14ac:dyDescent="0.3">
      <c r="B86" s="11">
        <f t="shared" si="7"/>
        <v>12</v>
      </c>
      <c r="C86" s="52"/>
      <c r="D86" s="53"/>
      <c r="E86" s="53"/>
      <c r="F86" s="53"/>
      <c r="G86" s="53"/>
      <c r="H86" s="54"/>
      <c r="I86" s="7">
        <v>6.1608960780810094</v>
      </c>
      <c r="J86" s="6">
        <v>4.8305850824475156</v>
      </c>
      <c r="K86" s="4"/>
      <c r="L86" s="5">
        <v>-5.9751618301917796E-3</v>
      </c>
      <c r="M86" s="52">
        <v>0.06</v>
      </c>
      <c r="N86" s="53">
        <v>5.4000000000000006E-2</v>
      </c>
      <c r="O86" s="55"/>
      <c r="P86" s="57"/>
      <c r="Q86" s="58"/>
    </row>
    <row r="87" spans="1:17" ht="14.4" x14ac:dyDescent="0.3">
      <c r="A87" s="11">
        <f t="shared" ref="A87" si="8">A75+1</f>
        <v>2007</v>
      </c>
      <c r="B87" s="11">
        <f t="shared" si="7"/>
        <v>1</v>
      </c>
      <c r="C87" s="52"/>
      <c r="D87" s="53"/>
      <c r="E87" s="53"/>
      <c r="F87" s="53"/>
      <c r="G87" s="53"/>
      <c r="H87" s="54"/>
      <c r="I87" s="7">
        <v>5.2316374441428053</v>
      </c>
      <c r="J87" s="6">
        <v>3.1223209599779622</v>
      </c>
      <c r="K87" s="8">
        <v>4.0443904574172223</v>
      </c>
      <c r="L87" s="5">
        <v>8.6659796503020095E-2</v>
      </c>
      <c r="M87" s="52">
        <v>5.2000000000000005E-2</v>
      </c>
      <c r="N87" s="53">
        <v>6.9000000000000006E-2</v>
      </c>
      <c r="O87" s="55"/>
      <c r="P87" s="57"/>
      <c r="Q87" s="58"/>
    </row>
    <row r="88" spans="1:17" ht="14.4" x14ac:dyDescent="0.3">
      <c r="B88" s="11">
        <f t="shared" si="7"/>
        <v>2</v>
      </c>
      <c r="C88" s="52"/>
      <c r="D88" s="53"/>
      <c r="E88" s="53"/>
      <c r="F88" s="53"/>
      <c r="G88" s="53"/>
      <c r="H88" s="54"/>
      <c r="I88" s="7">
        <v>6.3979226380201908</v>
      </c>
      <c r="J88" s="6">
        <v>4.1788503411689559</v>
      </c>
      <c r="K88" s="8">
        <v>3.5128454565416973</v>
      </c>
      <c r="L88" s="5">
        <v>-0.12699953731257699</v>
      </c>
      <c r="M88" s="52">
        <v>6.4000000000000001E-2</v>
      </c>
      <c r="N88" s="53">
        <v>5.5999999999999994E-2</v>
      </c>
      <c r="O88" s="55"/>
      <c r="P88" s="57"/>
      <c r="Q88" s="58"/>
    </row>
    <row r="89" spans="1:17" ht="14.4" x14ac:dyDescent="0.3">
      <c r="B89" s="11">
        <f t="shared" si="7"/>
        <v>3</v>
      </c>
      <c r="C89" s="52"/>
      <c r="D89" s="53"/>
      <c r="E89" s="53"/>
      <c r="F89" s="53"/>
      <c r="G89" s="53"/>
      <c r="H89" s="54"/>
      <c r="I89" s="7">
        <v>7.2069844073311629</v>
      </c>
      <c r="J89" s="6">
        <v>5.3027672123917959</v>
      </c>
      <c r="K89" s="8">
        <v>3.9978804554328207</v>
      </c>
      <c r="L89" s="5">
        <v>-0.19789817418445299</v>
      </c>
      <c r="M89" s="52">
        <v>7.2000000000000008E-2</v>
      </c>
      <c r="N89" s="53">
        <v>6.9000000000000006E-2</v>
      </c>
      <c r="O89" s="55"/>
      <c r="P89" s="57"/>
      <c r="Q89" s="58"/>
    </row>
    <row r="90" spans="1:17" ht="14.4" x14ac:dyDescent="0.3">
      <c r="B90" s="11">
        <f t="shared" si="7"/>
        <v>4</v>
      </c>
      <c r="C90" s="52"/>
      <c r="D90" s="53"/>
      <c r="E90" s="53"/>
      <c r="F90" s="53"/>
      <c r="G90" s="53"/>
      <c r="H90" s="54"/>
      <c r="I90" s="7">
        <v>6.0159704517909205</v>
      </c>
      <c r="J90" s="6">
        <v>3.9802167740547012</v>
      </c>
      <c r="K90" s="8">
        <v>3.2197172118357855</v>
      </c>
      <c r="L90" s="5">
        <v>4.4189007956975598E-2</v>
      </c>
      <c r="M90" s="52">
        <v>0.06</v>
      </c>
      <c r="N90" s="53">
        <v>5.5E-2</v>
      </c>
      <c r="O90" s="55"/>
      <c r="P90" s="57"/>
      <c r="Q90" s="58"/>
    </row>
    <row r="91" spans="1:17" ht="14.4" x14ac:dyDescent="0.3">
      <c r="B91" s="11">
        <f t="shared" si="7"/>
        <v>5</v>
      </c>
      <c r="C91" s="52"/>
      <c r="D91" s="53"/>
      <c r="E91" s="53"/>
      <c r="F91" s="53"/>
      <c r="G91" s="53"/>
      <c r="H91" s="54"/>
      <c r="I91" s="7">
        <v>5.652699701980012</v>
      </c>
      <c r="J91" s="6">
        <v>4.6730197612079687</v>
      </c>
      <c r="K91" s="8">
        <v>2.7506740248659298</v>
      </c>
      <c r="L91" s="5">
        <v>-0.13088315970810699</v>
      </c>
      <c r="M91" s="52">
        <v>5.7000000000000002E-2</v>
      </c>
      <c r="N91" s="53">
        <v>6.2E-2</v>
      </c>
      <c r="O91" s="55"/>
      <c r="P91" s="57"/>
      <c r="Q91" s="58"/>
    </row>
    <row r="92" spans="1:17" ht="14.4" x14ac:dyDescent="0.3">
      <c r="B92" s="11">
        <f t="shared" si="7"/>
        <v>6</v>
      </c>
      <c r="C92" s="52"/>
      <c r="D92" s="53"/>
      <c r="E92" s="53"/>
      <c r="F92" s="53"/>
      <c r="G92" s="53"/>
      <c r="H92" s="54"/>
      <c r="I92" s="7">
        <v>5.9281567035731229</v>
      </c>
      <c r="J92" s="6">
        <v>5.4991389351513673</v>
      </c>
      <c r="K92" s="8">
        <v>2.6965158909784606</v>
      </c>
      <c r="L92" s="5">
        <v>-9.1030388354538999E-2</v>
      </c>
      <c r="M92" s="52">
        <v>5.9000000000000004E-2</v>
      </c>
      <c r="N92" s="53">
        <v>4.9000000000000002E-2</v>
      </c>
      <c r="O92" s="55"/>
      <c r="P92" s="57"/>
      <c r="Q92" s="58"/>
    </row>
    <row r="93" spans="1:17" ht="14.4" x14ac:dyDescent="0.3">
      <c r="B93" s="11">
        <f t="shared" si="7"/>
        <v>7</v>
      </c>
      <c r="C93" s="52"/>
      <c r="D93" s="53"/>
      <c r="E93" s="53"/>
      <c r="F93" s="53"/>
      <c r="G93" s="53"/>
      <c r="H93" s="54"/>
      <c r="I93" s="7">
        <v>6.4312397356556232</v>
      </c>
      <c r="J93" s="6">
        <v>6.4297117281374137</v>
      </c>
      <c r="K93" s="8">
        <v>3.5549964932832836</v>
      </c>
      <c r="L93" s="5">
        <v>-0.12652760723206199</v>
      </c>
      <c r="M93" s="52">
        <v>6.4000000000000001E-2</v>
      </c>
      <c r="N93" s="53">
        <v>6.4000000000000001E-2</v>
      </c>
      <c r="O93" s="55"/>
      <c r="P93" s="57"/>
      <c r="Q93" s="58"/>
    </row>
    <row r="94" spans="1:17" ht="14.4" x14ac:dyDescent="0.3">
      <c r="B94" s="11">
        <f t="shared" si="7"/>
        <v>8</v>
      </c>
      <c r="C94" s="52"/>
      <c r="D94" s="53"/>
      <c r="E94" s="53"/>
      <c r="F94" s="53"/>
      <c r="G94" s="53"/>
      <c r="H94" s="54"/>
      <c r="I94" s="7">
        <v>10.751622022903547</v>
      </c>
      <c r="J94" s="6">
        <v>10.367507875428249</v>
      </c>
      <c r="K94" s="8">
        <v>8.1467499618573811</v>
      </c>
      <c r="L94" s="5">
        <v>-0.12941376197234999</v>
      </c>
      <c r="M94" s="52">
        <v>0.10800000000000001</v>
      </c>
      <c r="N94" s="53">
        <v>6.9000000000000006E-2</v>
      </c>
      <c r="O94" s="55"/>
      <c r="P94" s="57"/>
      <c r="Q94" s="58"/>
    </row>
    <row r="95" spans="1:17" ht="14.4" x14ac:dyDescent="0.3">
      <c r="B95" s="11">
        <f t="shared" si="7"/>
        <v>9</v>
      </c>
      <c r="C95" s="52"/>
      <c r="D95" s="53"/>
      <c r="E95" s="53"/>
      <c r="F95" s="53"/>
      <c r="G95" s="53"/>
      <c r="H95" s="54"/>
      <c r="I95" s="7">
        <v>12.572631398652888</v>
      </c>
      <c r="J95" s="6">
        <v>12.125511944124437</v>
      </c>
      <c r="K95" s="8">
        <v>9.1480524908280927</v>
      </c>
      <c r="L95" s="5">
        <v>-2.95889922180952E-2</v>
      </c>
      <c r="M95" s="52">
        <v>0.126</v>
      </c>
      <c r="N95" s="53">
        <v>9.6999999999999989E-2</v>
      </c>
      <c r="O95" s="55"/>
      <c r="P95" s="57"/>
      <c r="Q95" s="58"/>
    </row>
    <row r="96" spans="1:17" ht="14.4" x14ac:dyDescent="0.3">
      <c r="B96" s="11">
        <f t="shared" si="7"/>
        <v>10</v>
      </c>
      <c r="C96" s="52"/>
      <c r="D96" s="53"/>
      <c r="E96" s="53"/>
      <c r="F96" s="53"/>
      <c r="G96" s="53"/>
      <c r="H96" s="54"/>
      <c r="I96" s="7">
        <v>14.701124071372902</v>
      </c>
      <c r="J96" s="6">
        <v>13.917100553815429</v>
      </c>
      <c r="K96" s="8">
        <v>12.902392509589774</v>
      </c>
      <c r="L96" s="5">
        <v>-6.0240291587664502E-2</v>
      </c>
      <c r="M96" s="52">
        <v>0.14699999999999999</v>
      </c>
      <c r="N96" s="53">
        <v>0.121</v>
      </c>
      <c r="O96" s="55"/>
      <c r="P96" s="57"/>
      <c r="Q96" s="58"/>
    </row>
    <row r="97" spans="1:17" ht="14.4" x14ac:dyDescent="0.3">
      <c r="B97" s="11">
        <f t="shared" si="7"/>
        <v>11</v>
      </c>
      <c r="C97" s="52"/>
      <c r="D97" s="53"/>
      <c r="E97" s="53"/>
      <c r="F97" s="53"/>
      <c r="G97" s="53"/>
      <c r="H97" s="54"/>
      <c r="I97" s="7">
        <v>16.707622628131418</v>
      </c>
      <c r="J97" s="6">
        <v>13.967382836567879</v>
      </c>
      <c r="K97" s="8">
        <v>13.167338019305049</v>
      </c>
      <c r="L97" s="5">
        <v>0.210361185648125</v>
      </c>
      <c r="M97" s="52">
        <v>0.16699999999999998</v>
      </c>
      <c r="N97" s="53">
        <v>0.153</v>
      </c>
      <c r="O97" s="55"/>
      <c r="P97" s="57"/>
      <c r="Q97" s="58"/>
    </row>
    <row r="98" spans="1:17" ht="14.4" x14ac:dyDescent="0.3">
      <c r="B98" s="11">
        <f t="shared" si="7"/>
        <v>12</v>
      </c>
      <c r="C98" s="52"/>
      <c r="D98" s="53"/>
      <c r="E98" s="53"/>
      <c r="F98" s="53"/>
      <c r="G98" s="53"/>
      <c r="H98" s="54"/>
      <c r="I98" s="7">
        <v>17.767749614155719</v>
      </c>
      <c r="J98" s="6">
        <v>14.018942185878547</v>
      </c>
      <c r="K98" s="8">
        <v>12.492473958290844</v>
      </c>
      <c r="L98" s="5">
        <v>0.10547963558884101</v>
      </c>
      <c r="M98" s="52">
        <v>0.17800000000000002</v>
      </c>
      <c r="N98" s="53">
        <v>0.151</v>
      </c>
      <c r="O98" s="55"/>
      <c r="P98" s="57"/>
      <c r="Q98" s="58"/>
    </row>
    <row r="99" spans="1:17" ht="14.4" x14ac:dyDescent="0.3">
      <c r="A99" s="11">
        <f t="shared" ref="A99" si="9">A87+1</f>
        <v>2008</v>
      </c>
      <c r="B99" s="11">
        <f t="shared" si="7"/>
        <v>1</v>
      </c>
      <c r="C99" s="52">
        <v>9.3019514083862304E-2</v>
      </c>
      <c r="D99" s="53">
        <v>9.821854591369629E-2</v>
      </c>
      <c r="E99" s="53"/>
      <c r="F99" s="53">
        <v>9.2984952926635736E-2</v>
      </c>
      <c r="G99" s="53">
        <v>8.4000000000000005E-2</v>
      </c>
      <c r="H99" s="54"/>
      <c r="I99" s="7">
        <v>19.933115570769544</v>
      </c>
      <c r="J99" s="6">
        <v>17.5</v>
      </c>
      <c r="K99" s="8">
        <v>13.744017933188275</v>
      </c>
      <c r="L99" s="5">
        <v>-2.1134814803575201E-2</v>
      </c>
      <c r="M99" s="52">
        <v>0.19899999999999998</v>
      </c>
      <c r="N99" s="53">
        <v>0.184</v>
      </c>
      <c r="O99" s="55"/>
      <c r="P99" s="57"/>
      <c r="Q99" s="58"/>
    </row>
    <row r="100" spans="1:17" ht="14.4" x14ac:dyDescent="0.3">
      <c r="B100" s="11">
        <f t="shared" si="7"/>
        <v>2</v>
      </c>
      <c r="C100" s="52">
        <v>9.2843065261840815E-2</v>
      </c>
      <c r="D100" s="53">
        <v>9.8700599670410158E-2</v>
      </c>
      <c r="E100" s="53">
        <v>8.4483816448740812E-2</v>
      </c>
      <c r="F100" s="53">
        <v>9.2681226730346677E-2</v>
      </c>
      <c r="G100" s="53">
        <v>8.4000000000000005E-2</v>
      </c>
      <c r="H100" s="54">
        <f t="shared" ref="H100:H163" si="10">AVERAGE(C100:F100)</f>
        <v>9.2177177027834609E-2</v>
      </c>
      <c r="I100" s="7">
        <v>21.025559864655932</v>
      </c>
      <c r="J100" s="18">
        <v>17.899999999999999</v>
      </c>
      <c r="K100" s="19">
        <v>15.650035282101641</v>
      </c>
      <c r="L100" s="20">
        <v>0.223897733842677</v>
      </c>
      <c r="M100" s="52">
        <v>0.21</v>
      </c>
      <c r="N100" s="53">
        <v>0.17699999999999999</v>
      </c>
      <c r="O100" s="55"/>
      <c r="P100" s="57"/>
      <c r="Q100" s="58"/>
    </row>
    <row r="101" spans="1:17" ht="14.4" x14ac:dyDescent="0.3">
      <c r="B101" s="11">
        <f t="shared" si="7"/>
        <v>3</v>
      </c>
      <c r="C101" s="52">
        <v>0.10564630508422851</v>
      </c>
      <c r="D101" s="53">
        <v>9.9182233810424805E-2</v>
      </c>
      <c r="E101" s="53">
        <v>9.7912635803222653E-2</v>
      </c>
      <c r="F101" s="53">
        <v>0.10551814079284667</v>
      </c>
      <c r="G101" s="53">
        <v>9.7500000000000003E-2</v>
      </c>
      <c r="H101" s="54">
        <f t="shared" si="10"/>
        <v>0.10206482887268066</v>
      </c>
      <c r="I101" s="7">
        <v>24.041709126716569</v>
      </c>
      <c r="J101" s="18">
        <v>20.6</v>
      </c>
      <c r="K101" s="19">
        <v>17.566578599967769</v>
      </c>
      <c r="L101" s="20">
        <v>0.3969546164378</v>
      </c>
      <c r="M101" s="52">
        <v>0.24</v>
      </c>
      <c r="N101" s="53">
        <v>0.192</v>
      </c>
      <c r="O101" s="55"/>
      <c r="P101" s="57"/>
      <c r="Q101" s="58"/>
    </row>
    <row r="102" spans="1:17" ht="14.4" x14ac:dyDescent="0.3">
      <c r="B102" s="11">
        <f t="shared" si="7"/>
        <v>4</v>
      </c>
      <c r="C102" s="52">
        <v>0.10459766387939454</v>
      </c>
      <c r="D102" s="53">
        <v>9.9663877487182612E-2</v>
      </c>
      <c r="E102" s="53">
        <v>9.7494640350341791E-2</v>
      </c>
      <c r="F102" s="53">
        <v>0.10445265769958496</v>
      </c>
      <c r="G102" s="53">
        <v>9.7500000000000003E-2</v>
      </c>
      <c r="H102" s="54">
        <f t="shared" si="10"/>
        <v>0.10155220985412597</v>
      </c>
      <c r="I102" s="7">
        <v>29.39857441013794</v>
      </c>
      <c r="J102" s="18">
        <v>26.4</v>
      </c>
      <c r="K102" s="19">
        <v>21.63568313657585</v>
      </c>
      <c r="L102" s="20">
        <v>0.37587338576451601</v>
      </c>
      <c r="M102" s="52">
        <v>0.29399999999999998</v>
      </c>
      <c r="N102" s="53">
        <v>0.214</v>
      </c>
      <c r="O102" s="55"/>
      <c r="P102" s="57"/>
      <c r="Q102" s="58"/>
    </row>
    <row r="103" spans="1:17" ht="14.4" x14ac:dyDescent="0.3">
      <c r="B103" s="11">
        <f t="shared" si="7"/>
        <v>5</v>
      </c>
      <c r="C103" s="52">
        <v>0.10428555488586426</v>
      </c>
      <c r="D103" s="53">
        <v>0.10014496803283691</v>
      </c>
      <c r="E103" s="53">
        <v>9.7494640350341791E-2</v>
      </c>
      <c r="F103" s="53">
        <v>0.10297095298767089</v>
      </c>
      <c r="G103" s="53">
        <v>9.7500000000000003E-2</v>
      </c>
      <c r="H103" s="54">
        <f t="shared" si="10"/>
        <v>0.10122402906417846</v>
      </c>
      <c r="I103" s="7">
        <v>33.905371625681823</v>
      </c>
      <c r="J103" s="18">
        <v>32.6</v>
      </c>
      <c r="K103" s="19">
        <v>27.127447907200462</v>
      </c>
      <c r="L103" s="20">
        <v>-6.3132175101653601E-2</v>
      </c>
      <c r="M103" s="52">
        <v>0.33899999999999997</v>
      </c>
      <c r="N103" s="53">
        <v>0.26800000000000002</v>
      </c>
      <c r="O103" s="55"/>
      <c r="P103" s="57"/>
      <c r="Q103" s="58"/>
    </row>
    <row r="104" spans="1:17" ht="14.4" x14ac:dyDescent="0.3">
      <c r="B104" s="11">
        <f t="shared" si="7"/>
        <v>6</v>
      </c>
      <c r="C104" s="52">
        <v>0.10310159683227539</v>
      </c>
      <c r="D104" s="53">
        <v>0.10062522888183593</v>
      </c>
      <c r="E104" s="53">
        <v>9.7494640350341791E-2</v>
      </c>
      <c r="F104" s="53">
        <v>0.10109321594238281</v>
      </c>
      <c r="G104" s="53">
        <v>9.7500000000000003E-2</v>
      </c>
      <c r="H104" s="54">
        <f t="shared" si="10"/>
        <v>0.10057867050170897</v>
      </c>
      <c r="I104" s="2">
        <v>32.6</v>
      </c>
      <c r="J104" s="18">
        <v>32.4</v>
      </c>
      <c r="K104" s="19">
        <v>28.040760470815741</v>
      </c>
      <c r="L104" s="20">
        <v>3.1162270039698799E-2</v>
      </c>
      <c r="M104" s="52">
        <v>0.33600000000000002</v>
      </c>
      <c r="N104" s="53">
        <v>0.28800000000000003</v>
      </c>
      <c r="O104" s="55"/>
      <c r="P104" s="57"/>
      <c r="Q104" s="58"/>
    </row>
    <row r="105" spans="1:17" ht="14.4" x14ac:dyDescent="0.3">
      <c r="B105" s="11">
        <f t="shared" si="7"/>
        <v>7</v>
      </c>
      <c r="C105" s="52">
        <v>0.10121027946472168</v>
      </c>
      <c r="D105" s="53">
        <v>0.10110439300537109</v>
      </c>
      <c r="E105" s="53">
        <v>9.7494640350341791E-2</v>
      </c>
      <c r="F105" s="53">
        <v>9.88754940032959E-2</v>
      </c>
      <c r="G105" s="53">
        <v>9.7500000000000003E-2</v>
      </c>
      <c r="H105" s="54">
        <f t="shared" si="10"/>
        <v>9.9671201705932605E-2</v>
      </c>
      <c r="I105" s="7">
        <v>32</v>
      </c>
      <c r="J105" s="18">
        <v>33.1</v>
      </c>
      <c r="K105" s="19">
        <v>29.241900716255884</v>
      </c>
      <c r="L105" s="20">
        <v>-0.191355873321647</v>
      </c>
      <c r="M105" s="52">
        <v>0.33</v>
      </c>
      <c r="N105" s="53">
        <v>0.29499999999999998</v>
      </c>
      <c r="O105" s="55"/>
      <c r="P105" s="57"/>
      <c r="Q105" s="58"/>
    </row>
    <row r="106" spans="1:17" ht="14.4" x14ac:dyDescent="0.3">
      <c r="B106" s="11">
        <f t="shared" si="7"/>
        <v>8</v>
      </c>
      <c r="C106" s="52">
        <v>9.9025020599365229E-2</v>
      </c>
      <c r="D106" s="53">
        <v>0.10158216476440429</v>
      </c>
      <c r="E106" s="53">
        <v>9.7494640350341791E-2</v>
      </c>
      <c r="F106" s="53">
        <v>9.6408042907714847E-2</v>
      </c>
      <c r="G106" s="53">
        <v>9.7500000000000003E-2</v>
      </c>
      <c r="H106" s="54">
        <f t="shared" si="10"/>
        <v>9.8627467155456533E-2</v>
      </c>
      <c r="I106" s="2">
        <v>34.200000000000003</v>
      </c>
      <c r="J106" s="18">
        <v>33.700000000000003</v>
      </c>
      <c r="K106" s="19">
        <v>30.922498739338266</v>
      </c>
      <c r="L106" s="20">
        <v>-0.20182920822692699</v>
      </c>
      <c r="M106" s="52">
        <v>0.34200000000000003</v>
      </c>
      <c r="N106" s="53">
        <v>0.255</v>
      </c>
      <c r="O106" s="55"/>
      <c r="P106" s="57"/>
      <c r="Q106" s="58"/>
    </row>
    <row r="107" spans="1:17" ht="14.4" x14ac:dyDescent="0.3">
      <c r="B107" s="11">
        <f t="shared" si="7"/>
        <v>9</v>
      </c>
      <c r="C107" s="52">
        <v>0.10156254768371582</v>
      </c>
      <c r="D107" s="53">
        <v>0.10205821990966797</v>
      </c>
      <c r="E107" s="53">
        <v>0.10264945030212402</v>
      </c>
      <c r="F107" s="53">
        <v>9.8810281753540036E-2</v>
      </c>
      <c r="G107" s="53">
        <v>0.10249999999999999</v>
      </c>
      <c r="H107" s="54">
        <f t="shared" si="10"/>
        <v>0.10127012491226195</v>
      </c>
      <c r="I107" s="2">
        <v>32.200000000000003</v>
      </c>
      <c r="J107" s="18">
        <v>31.7</v>
      </c>
      <c r="K107" s="19">
        <v>30.204169039569734</v>
      </c>
      <c r="L107" s="20">
        <v>2.29046090537737E-2</v>
      </c>
      <c r="M107" s="52">
        <v>0.32200000000000001</v>
      </c>
      <c r="N107" s="53">
        <v>0.27600000000000002</v>
      </c>
      <c r="O107" s="55"/>
      <c r="P107" s="57"/>
      <c r="Q107" s="58"/>
    </row>
    <row r="108" spans="1:17" ht="14.4" x14ac:dyDescent="0.3">
      <c r="B108" s="11">
        <f t="shared" si="7"/>
        <v>10</v>
      </c>
      <c r="C108" s="52">
        <v>9.6303577423095699E-2</v>
      </c>
      <c r="D108" s="53">
        <v>0.10253220558166504</v>
      </c>
      <c r="E108" s="53">
        <v>0.1024946403503418</v>
      </c>
      <c r="F108" s="53">
        <v>9.6222639083862305E-2</v>
      </c>
      <c r="G108" s="53">
        <v>0.10249999999999999</v>
      </c>
      <c r="H108" s="54">
        <f t="shared" si="10"/>
        <v>9.9388265609741205E-2</v>
      </c>
      <c r="I108" s="7">
        <v>27.9</v>
      </c>
      <c r="J108" s="18">
        <v>27.2</v>
      </c>
      <c r="K108" s="19">
        <v>24.944091718460655</v>
      </c>
      <c r="L108" s="20">
        <v>-0.76289426085821099</v>
      </c>
      <c r="M108" s="52">
        <v>0.27899999999999997</v>
      </c>
      <c r="N108" s="53">
        <v>0.26600000000000001</v>
      </c>
      <c r="O108" s="55"/>
      <c r="P108" s="57"/>
      <c r="Q108" s="58"/>
    </row>
    <row r="109" spans="1:17" ht="14.4" x14ac:dyDescent="0.3">
      <c r="B109" s="11">
        <f t="shared" si="7"/>
        <v>11</v>
      </c>
      <c r="C109" s="52">
        <v>9.0152473449707032E-2</v>
      </c>
      <c r="D109" s="53">
        <v>0.10300375938415528</v>
      </c>
      <c r="E109" s="53">
        <v>9.7339830398559576E-2</v>
      </c>
      <c r="F109" s="53">
        <v>8.8795890808105474E-2</v>
      </c>
      <c r="G109" s="53">
        <v>9.7500000000000003E-2</v>
      </c>
      <c r="H109" s="54">
        <f t="shared" si="10"/>
        <v>9.4822988510131836E-2</v>
      </c>
      <c r="I109" s="7">
        <v>24.2</v>
      </c>
      <c r="J109" s="18">
        <v>24.5</v>
      </c>
      <c r="K109" s="19">
        <v>22.9</v>
      </c>
      <c r="L109" s="20">
        <v>-1.56620499837181</v>
      </c>
      <c r="M109" s="52">
        <v>0.24199999999999999</v>
      </c>
      <c r="N109" s="53">
        <v>0.247</v>
      </c>
      <c r="O109" s="55"/>
      <c r="P109" s="57"/>
      <c r="Q109" s="58"/>
    </row>
    <row r="110" spans="1:17" ht="14.4" x14ac:dyDescent="0.3">
      <c r="B110" s="11">
        <f t="shared" si="7"/>
        <v>12</v>
      </c>
      <c r="C110" s="52">
        <v>9.4245595932006834E-2</v>
      </c>
      <c r="D110" s="53">
        <v>0.1034725284576416</v>
      </c>
      <c r="E110" s="53">
        <v>9.7494640350341791E-2</v>
      </c>
      <c r="F110" s="53">
        <v>8.6679039001464842E-2</v>
      </c>
      <c r="G110" s="53">
        <v>9.7500000000000003E-2</v>
      </c>
      <c r="H110" s="54">
        <f t="shared" si="10"/>
        <v>9.547295093536376E-2</v>
      </c>
      <c r="I110" s="7">
        <v>22.1</v>
      </c>
      <c r="J110" s="18">
        <v>23.2</v>
      </c>
      <c r="K110" s="19">
        <v>23.1</v>
      </c>
      <c r="L110" s="20">
        <v>-1.10067658045195</v>
      </c>
      <c r="M110" s="52">
        <v>0.221</v>
      </c>
      <c r="N110" s="53">
        <v>0.20699999999999999</v>
      </c>
      <c r="O110" s="55"/>
      <c r="P110" s="57"/>
      <c r="Q110" s="58"/>
    </row>
    <row r="111" spans="1:17" ht="14.4" x14ac:dyDescent="0.3">
      <c r="A111" s="11">
        <f t="shared" ref="A111" si="11">A99+1</f>
        <v>2009</v>
      </c>
      <c r="B111" s="11">
        <f t="shared" si="7"/>
        <v>1</v>
      </c>
      <c r="C111" s="52">
        <v>0.10016917228698731</v>
      </c>
      <c r="D111" s="53">
        <v>0.10393813133239746</v>
      </c>
      <c r="E111" s="53">
        <v>9.7494640350341791E-2</v>
      </c>
      <c r="F111" s="53">
        <v>8.50067138671875E-2</v>
      </c>
      <c r="G111" s="53">
        <v>9.7500000000000003E-2</v>
      </c>
      <c r="H111" s="54">
        <f t="shared" si="10"/>
        <v>9.6652164459228515E-2</v>
      </c>
      <c r="I111" s="2">
        <v>20.7</v>
      </c>
      <c r="J111" s="18">
        <v>21.021056029549825</v>
      </c>
      <c r="K111" s="19">
        <v>22.9</v>
      </c>
      <c r="L111" s="20">
        <v>-0.63570561225674904</v>
      </c>
      <c r="M111" s="52">
        <v>0.20699999999999999</v>
      </c>
      <c r="N111" s="53">
        <v>0.20399999999999999</v>
      </c>
      <c r="O111" s="55"/>
      <c r="P111" s="57"/>
      <c r="Q111" s="58"/>
    </row>
    <row r="112" spans="1:17" ht="14.4" x14ac:dyDescent="0.3">
      <c r="B112" s="11">
        <f t="shared" si="7"/>
        <v>2</v>
      </c>
      <c r="C112" s="52">
        <v>0.10453926086425781</v>
      </c>
      <c r="D112" s="53">
        <v>0.10440011024475097</v>
      </c>
      <c r="E112" s="53">
        <v>9.7494640350341791E-2</v>
      </c>
      <c r="F112" s="53">
        <v>8.3887310028076173E-2</v>
      </c>
      <c r="G112" s="53">
        <v>9.7500000000000003E-2</v>
      </c>
      <c r="H112" s="54">
        <f t="shared" si="10"/>
        <v>9.7580330371856677E-2</v>
      </c>
      <c r="I112" s="7">
        <v>18.2</v>
      </c>
      <c r="J112" s="18">
        <v>17.180539744336762</v>
      </c>
      <c r="K112" s="19">
        <v>20.2</v>
      </c>
      <c r="L112" s="20">
        <v>3.7901703151638301E-2</v>
      </c>
      <c r="M112" s="52">
        <v>0.182</v>
      </c>
      <c r="N112" s="53">
        <v>0.17699999999999999</v>
      </c>
      <c r="O112" s="55"/>
      <c r="P112" s="57"/>
      <c r="Q112" s="58"/>
    </row>
    <row r="113" spans="1:17" ht="14.4" x14ac:dyDescent="0.3">
      <c r="B113" s="11">
        <f t="shared" si="7"/>
        <v>3</v>
      </c>
      <c r="C113" s="52">
        <v>0.15316871643066407</v>
      </c>
      <c r="D113" s="53">
        <v>0.10485797882080078</v>
      </c>
      <c r="E113" s="53">
        <v>0.14131055831909178</v>
      </c>
      <c r="F113" s="53">
        <v>0.12589318275451661</v>
      </c>
      <c r="G113" s="53">
        <v>0.14000000000000001</v>
      </c>
      <c r="H113" s="54">
        <f t="shared" si="10"/>
        <v>0.13130760908126832</v>
      </c>
      <c r="I113" s="7">
        <v>16.3</v>
      </c>
      <c r="J113" s="18">
        <v>17.240560055740765</v>
      </c>
      <c r="K113" s="19">
        <v>19.899999999999999</v>
      </c>
      <c r="L113" s="20">
        <v>-0.18806618425756999</v>
      </c>
      <c r="M113" s="52">
        <v>0.16300000000000001</v>
      </c>
      <c r="N113" s="53">
        <v>0.14599999999999999</v>
      </c>
      <c r="O113" s="55"/>
      <c r="P113" s="57"/>
      <c r="Q113" s="58"/>
    </row>
    <row r="114" spans="1:17" ht="14.4" x14ac:dyDescent="0.3">
      <c r="B114" s="11">
        <f t="shared" si="7"/>
        <v>4</v>
      </c>
      <c r="C114" s="52">
        <v>0.14450321197509766</v>
      </c>
      <c r="D114" s="53">
        <v>0.10531118392944336</v>
      </c>
      <c r="E114" s="53">
        <v>0.13999464035034179</v>
      </c>
      <c r="F114" s="53">
        <v>0.12605362892150879</v>
      </c>
      <c r="G114" s="53">
        <v>0.14000000000000001</v>
      </c>
      <c r="H114" s="54">
        <f t="shared" si="10"/>
        <v>0.12896566629409789</v>
      </c>
      <c r="I114" s="7">
        <v>12.5</v>
      </c>
      <c r="J114" s="18">
        <v>12.568582606819755</v>
      </c>
      <c r="K114" s="19">
        <v>17.2</v>
      </c>
      <c r="L114" s="20">
        <v>-0.27605059259482501</v>
      </c>
      <c r="M114" s="52">
        <v>0.125</v>
      </c>
      <c r="N114" s="53">
        <v>0.107</v>
      </c>
      <c r="O114" s="55"/>
      <c r="P114" s="57"/>
      <c r="Q114" s="58"/>
    </row>
    <row r="115" spans="1:17" ht="14.4" x14ac:dyDescent="0.3">
      <c r="B115" s="11">
        <f t="shared" si="7"/>
        <v>5</v>
      </c>
      <c r="C115" s="52">
        <v>0.13408632278442384</v>
      </c>
      <c r="D115" s="53">
        <v>0.10575946807861328</v>
      </c>
      <c r="E115" s="53">
        <v>0.12710761070251464</v>
      </c>
      <c r="F115" s="53">
        <v>0.11435159683227539</v>
      </c>
      <c r="G115" s="53">
        <v>0.1275</v>
      </c>
      <c r="H115" s="54">
        <f t="shared" si="10"/>
        <v>0.12032624959945679</v>
      </c>
      <c r="I115" s="7">
        <v>8</v>
      </c>
      <c r="J115" s="18">
        <v>7.4436460987059831</v>
      </c>
      <c r="K115" s="19">
        <v>13.2</v>
      </c>
      <c r="L115" s="20">
        <v>-0.17937196558117999</v>
      </c>
      <c r="M115" s="52">
        <v>0.08</v>
      </c>
      <c r="N115" s="53">
        <v>9.0999999999999998E-2</v>
      </c>
      <c r="O115" s="55"/>
      <c r="P115" s="57"/>
      <c r="Q115" s="58"/>
    </row>
    <row r="116" spans="1:17" ht="14.4" x14ac:dyDescent="0.3">
      <c r="B116" s="11">
        <f t="shared" si="7"/>
        <v>6</v>
      </c>
      <c r="C116" s="52">
        <v>0.12292527198791504</v>
      </c>
      <c r="D116" s="53">
        <v>0.10620282173156738</v>
      </c>
      <c r="E116" s="53">
        <v>0.11460761070251464</v>
      </c>
      <c r="F116" s="53">
        <v>0.10322443962097168</v>
      </c>
      <c r="G116" s="53">
        <v>0.115</v>
      </c>
      <c r="H116" s="54">
        <f t="shared" si="10"/>
        <v>0.11174003601074219</v>
      </c>
      <c r="I116" s="7">
        <v>6.2642917230043906</v>
      </c>
      <c r="J116" s="18">
        <v>4.7366102950092852</v>
      </c>
      <c r="K116" s="19">
        <v>12.3</v>
      </c>
      <c r="L116" s="20">
        <v>-5.7662386530813198E-3</v>
      </c>
      <c r="M116" s="52">
        <v>6.3E-2</v>
      </c>
      <c r="N116" s="53">
        <v>7.2999999999999995E-2</v>
      </c>
      <c r="O116" s="55"/>
      <c r="P116" s="57"/>
      <c r="Q116" s="58"/>
    </row>
    <row r="117" spans="1:17" ht="14.4" x14ac:dyDescent="0.3">
      <c r="B117" s="11">
        <f t="shared" si="7"/>
        <v>7</v>
      </c>
      <c r="C117" s="52">
        <v>0.1232181167602539</v>
      </c>
      <c r="D117" s="53">
        <v>0.10664138793945313</v>
      </c>
      <c r="E117" s="53">
        <v>0.11499464035034179</v>
      </c>
      <c r="F117" s="53">
        <v>0.10506864547729493</v>
      </c>
      <c r="G117" s="53">
        <v>0.115</v>
      </c>
      <c r="H117" s="54">
        <f t="shared" si="10"/>
        <v>0.11248069763183595</v>
      </c>
      <c r="I117" s="7">
        <v>4.922956517421639</v>
      </c>
      <c r="J117" s="18">
        <v>2.9044321474104038</v>
      </c>
      <c r="K117" s="19">
        <v>13.3</v>
      </c>
      <c r="L117" s="20">
        <v>1.43165717356801E-2</v>
      </c>
      <c r="M117" s="52">
        <v>4.9000000000000002E-2</v>
      </c>
      <c r="N117" s="53">
        <v>6.9000000000000006E-2</v>
      </c>
      <c r="O117" s="55"/>
      <c r="P117" s="57"/>
      <c r="Q117" s="58"/>
    </row>
    <row r="118" spans="1:17" ht="14.4" x14ac:dyDescent="0.3">
      <c r="B118" s="11">
        <f t="shared" si="7"/>
        <v>8</v>
      </c>
      <c r="C118" s="52">
        <v>0.12417068481445312</v>
      </c>
      <c r="D118" s="53">
        <v>0.10707542419433594</v>
      </c>
      <c r="E118" s="53">
        <v>0.11499464035034179</v>
      </c>
      <c r="F118" s="53">
        <v>0.10724830627441406</v>
      </c>
      <c r="G118" s="53">
        <v>0.115</v>
      </c>
      <c r="H118" s="54">
        <f t="shared" si="10"/>
        <v>0.11337226390838623</v>
      </c>
      <c r="I118" s="7">
        <v>0.59349819322564201</v>
      </c>
      <c r="J118" s="18">
        <v>-0.90340071171058867</v>
      </c>
      <c r="K118" s="19">
        <v>4.9000000000000004</v>
      </c>
      <c r="L118" s="20">
        <v>4.4379533743960399E-2</v>
      </c>
      <c r="M118" s="52">
        <v>6.0000000000000001E-3</v>
      </c>
      <c r="N118" s="53">
        <v>6.0000000000000001E-3</v>
      </c>
      <c r="O118" s="55"/>
      <c r="P118" s="57"/>
      <c r="Q118" s="58"/>
    </row>
    <row r="119" spans="1:17" ht="14.4" x14ac:dyDescent="0.3">
      <c r="B119" s="11">
        <f t="shared" si="7"/>
        <v>9</v>
      </c>
      <c r="C119" s="52">
        <v>0.10869609832763671</v>
      </c>
      <c r="D119" s="53">
        <v>0.10750519752502441</v>
      </c>
      <c r="E119" s="53">
        <v>9.9530200958251949E-2</v>
      </c>
      <c r="F119" s="53">
        <v>9.4606361389160162E-2</v>
      </c>
      <c r="G119" s="53">
        <v>0.1</v>
      </c>
      <c r="H119" s="54">
        <f t="shared" si="10"/>
        <v>0.10258446455001831</v>
      </c>
      <c r="I119" s="7">
        <v>1.5879303424497948E-2</v>
      </c>
      <c r="J119" s="18">
        <v>-1.9179752634941849</v>
      </c>
      <c r="K119" s="19">
        <v>3.3429775117637774</v>
      </c>
      <c r="L119" s="20">
        <v>2.6591103933010299E-2</v>
      </c>
      <c r="M119" s="52">
        <v>0</v>
      </c>
      <c r="N119" s="53">
        <v>-1E-3</v>
      </c>
      <c r="O119" s="55"/>
      <c r="P119" s="57"/>
      <c r="Q119" s="58"/>
    </row>
    <row r="120" spans="1:17" ht="14.4" x14ac:dyDescent="0.3">
      <c r="B120" s="11">
        <f t="shared" si="7"/>
        <v>10</v>
      </c>
      <c r="C120" s="52">
        <v>0.10962010383605957</v>
      </c>
      <c r="D120" s="53">
        <v>0.10793107986450196</v>
      </c>
      <c r="E120" s="53">
        <v>9.9994640350341793E-2</v>
      </c>
      <c r="F120" s="53">
        <v>9.6977796554565426E-2</v>
      </c>
      <c r="G120" s="53">
        <v>0.1</v>
      </c>
      <c r="H120" s="54">
        <f t="shared" si="10"/>
        <v>0.10363090515136719</v>
      </c>
      <c r="I120" s="7">
        <v>0.84843489270787131</v>
      </c>
      <c r="J120" s="18">
        <v>-1.137176062196815</v>
      </c>
      <c r="K120" s="19">
        <v>2.8681040585699975</v>
      </c>
      <c r="L120" s="20">
        <v>0.284844222409599</v>
      </c>
      <c r="M120" s="52">
        <v>9.0000000000000011E-3</v>
      </c>
      <c r="N120" s="53">
        <v>1.6E-2</v>
      </c>
      <c r="O120" s="55"/>
      <c r="P120" s="57"/>
      <c r="Q120" s="58"/>
    </row>
    <row r="121" spans="1:17" ht="14.4" x14ac:dyDescent="0.3">
      <c r="B121" s="11">
        <f t="shared" si="7"/>
        <v>11</v>
      </c>
      <c r="C121" s="52">
        <v>0.10959463119506836</v>
      </c>
      <c r="D121" s="53">
        <v>0.10835336685180665</v>
      </c>
      <c r="E121" s="53">
        <v>9.9994640350341793E-2</v>
      </c>
      <c r="F121" s="53">
        <v>9.9203348159790039E-2</v>
      </c>
      <c r="G121" s="53">
        <v>0.1</v>
      </c>
      <c r="H121" s="54">
        <f t="shared" si="10"/>
        <v>0.10428649663925171</v>
      </c>
      <c r="I121" s="7">
        <v>3.5314129245284249</v>
      </c>
      <c r="J121" s="18">
        <v>1.1249855387946042</v>
      </c>
      <c r="K121" s="19">
        <v>3.4039839804170384</v>
      </c>
      <c r="L121" s="20">
        <v>0.13747486246892901</v>
      </c>
      <c r="M121" s="52">
        <v>3.5000000000000003E-2</v>
      </c>
      <c r="N121" s="53">
        <v>3.6000000000000004E-2</v>
      </c>
      <c r="O121" s="55"/>
      <c r="P121" s="57"/>
      <c r="Q121" s="58"/>
    </row>
    <row r="122" spans="1:17" ht="14.4" x14ac:dyDescent="0.3">
      <c r="B122" s="11">
        <f t="shared" si="7"/>
        <v>12</v>
      </c>
      <c r="C122" s="52">
        <v>0.11003552436828613</v>
      </c>
      <c r="D122" s="53">
        <v>0.10877229690551758</v>
      </c>
      <c r="E122" s="53">
        <v>9.9994640350341793E-2</v>
      </c>
      <c r="F122" s="53">
        <v>0.10114264488220215</v>
      </c>
      <c r="G122" s="53">
        <v>0.1</v>
      </c>
      <c r="H122" s="54">
        <f t="shared" si="10"/>
        <v>0.10498627662658691</v>
      </c>
      <c r="I122" s="7">
        <v>4.1773770491098592</v>
      </c>
      <c r="J122" s="18">
        <v>1.8780773988057007</v>
      </c>
      <c r="K122" s="19">
        <v>4.0869029151538427</v>
      </c>
      <c r="L122" s="20">
        <v>0.26838525339310199</v>
      </c>
      <c r="M122" s="52">
        <v>4.2000000000000003E-2</v>
      </c>
      <c r="N122" s="53">
        <v>3.7999999999999999E-2</v>
      </c>
      <c r="O122" s="55"/>
      <c r="P122" s="57"/>
      <c r="Q122" s="58"/>
    </row>
    <row r="123" spans="1:17" ht="14.4" x14ac:dyDescent="0.3">
      <c r="A123" s="11">
        <f t="shared" ref="A123" si="12">A111+1</f>
        <v>2010</v>
      </c>
      <c r="B123" s="11">
        <f t="shared" si="7"/>
        <v>1</v>
      </c>
      <c r="C123" s="52">
        <v>0.11123700141906738</v>
      </c>
      <c r="D123" s="53">
        <v>0.10918802261352539</v>
      </c>
      <c r="E123" s="53">
        <v>9.9994640350341793E-2</v>
      </c>
      <c r="F123" s="53">
        <v>0.1026853370666504</v>
      </c>
      <c r="G123" s="53">
        <v>0.1</v>
      </c>
      <c r="H123" s="54">
        <f t="shared" si="10"/>
        <v>0.10577625036239624</v>
      </c>
      <c r="I123" s="7">
        <v>5.7253078927881234</v>
      </c>
      <c r="J123" s="18">
        <v>4.4606115282816745</v>
      </c>
      <c r="K123" s="19">
        <v>5.3407577194662963</v>
      </c>
      <c r="L123" s="20">
        <v>0.15900786816653401</v>
      </c>
      <c r="M123" s="52">
        <v>5.7000000000000002E-2</v>
      </c>
      <c r="N123" s="53">
        <v>5.2999999999999999E-2</v>
      </c>
      <c r="O123" s="55"/>
      <c r="P123" s="57"/>
      <c r="Q123" s="58"/>
    </row>
    <row r="124" spans="1:17" ht="14.4" x14ac:dyDescent="0.3">
      <c r="B124" s="11">
        <f t="shared" si="7"/>
        <v>2</v>
      </c>
      <c r="C124" s="52">
        <v>0.10893193244934082</v>
      </c>
      <c r="D124" s="53">
        <v>0.10960067749023437</v>
      </c>
      <c r="E124" s="53">
        <v>9.9994640350341793E-2</v>
      </c>
      <c r="F124" s="53">
        <v>0.10375935554504395</v>
      </c>
      <c r="G124" s="53">
        <v>0.1</v>
      </c>
      <c r="H124" s="54">
        <f t="shared" si="10"/>
        <v>0.10557165145874023</v>
      </c>
      <c r="I124" s="7">
        <v>8.3082564978058286</v>
      </c>
      <c r="J124" s="18">
        <v>8.6819868097488637</v>
      </c>
      <c r="K124" s="19">
        <v>7.7708160999589495</v>
      </c>
      <c r="L124" s="20">
        <v>-0.103849080837879</v>
      </c>
      <c r="M124" s="52">
        <v>8.3000000000000004E-2</v>
      </c>
      <c r="N124" s="53">
        <v>6.2E-2</v>
      </c>
      <c r="O124" s="55"/>
      <c r="P124" s="57"/>
      <c r="Q124" s="58"/>
    </row>
    <row r="125" spans="1:17" ht="14.4" x14ac:dyDescent="0.3">
      <c r="B125" s="11">
        <f t="shared" si="7"/>
        <v>3</v>
      </c>
      <c r="C125" s="52">
        <v>0.10685563087463379</v>
      </c>
      <c r="D125" s="53">
        <v>0.1100102710723877</v>
      </c>
      <c r="E125" s="53">
        <v>9.9994640350341793E-2</v>
      </c>
      <c r="F125" s="53">
        <v>0.10433539390563965</v>
      </c>
      <c r="G125" s="53">
        <v>0.1</v>
      </c>
      <c r="H125" s="54">
        <f t="shared" si="10"/>
        <v>0.10529898405075072</v>
      </c>
      <c r="I125" s="7">
        <v>8.4910342017081177</v>
      </c>
      <c r="J125" s="18">
        <v>7.7695868257461456</v>
      </c>
      <c r="K125" s="19">
        <v>5.9776849358207755</v>
      </c>
      <c r="L125" s="20">
        <v>-6.2974890987042301E-2</v>
      </c>
      <c r="M125" s="52">
        <v>8.5000000000000006E-2</v>
      </c>
      <c r="N125" s="53">
        <v>7.2000000000000008E-2</v>
      </c>
      <c r="O125" s="55"/>
      <c r="P125" s="57"/>
      <c r="Q125" s="58"/>
    </row>
    <row r="126" spans="1:17" ht="14.4" x14ac:dyDescent="0.3">
      <c r="B126" s="11">
        <f t="shared" si="7"/>
        <v>4</v>
      </c>
      <c r="C126" s="52">
        <v>0.10433104515075683</v>
      </c>
      <c r="D126" s="53">
        <v>0.11041676521301269</v>
      </c>
      <c r="E126" s="53">
        <v>9.9994640350341793E-2</v>
      </c>
      <c r="F126" s="53">
        <v>0.10442740440368653</v>
      </c>
      <c r="G126" s="53">
        <v>0.1</v>
      </c>
      <c r="H126" s="54">
        <f t="shared" si="10"/>
        <v>0.10479246377944947</v>
      </c>
      <c r="I126" s="7">
        <v>8.2869894666160064</v>
      </c>
      <c r="J126" s="18">
        <v>8.3747779781005534</v>
      </c>
      <c r="K126" s="19">
        <v>5.186339189980373</v>
      </c>
      <c r="L126" s="20">
        <v>0.10115140858400599</v>
      </c>
      <c r="M126" s="52">
        <v>8.3000000000000004E-2</v>
      </c>
      <c r="N126" s="53">
        <v>7.0000000000000007E-2</v>
      </c>
      <c r="O126" s="55"/>
      <c r="P126" s="57"/>
      <c r="Q126" s="58"/>
    </row>
    <row r="127" spans="1:17" ht="14.4" x14ac:dyDescent="0.3">
      <c r="B127" s="11">
        <f t="shared" si="7"/>
        <v>5</v>
      </c>
      <c r="C127" s="52">
        <v>0.11303605079650879</v>
      </c>
      <c r="D127" s="53">
        <v>0.11082005500793457</v>
      </c>
      <c r="E127" s="53">
        <v>0.11030426979064942</v>
      </c>
      <c r="F127" s="53">
        <v>0.11408897399902344</v>
      </c>
      <c r="G127" s="53">
        <v>0.11</v>
      </c>
      <c r="H127" s="54">
        <f t="shared" si="10"/>
        <v>0.11206233739852907</v>
      </c>
      <c r="I127" s="7">
        <v>11.624239966388132</v>
      </c>
      <c r="J127" s="18">
        <v>11.715043065830471</v>
      </c>
      <c r="K127" s="19">
        <v>5.6391973076659667</v>
      </c>
      <c r="L127" s="20">
        <v>5.7460951426450302E-2</v>
      </c>
      <c r="M127" s="52">
        <v>0.11599999999999999</v>
      </c>
      <c r="N127" s="53">
        <v>9.3000000000000013E-2</v>
      </c>
      <c r="O127" s="55"/>
      <c r="P127" s="57"/>
      <c r="Q127" s="58"/>
    </row>
    <row r="128" spans="1:17" ht="14.4" x14ac:dyDescent="0.3">
      <c r="B128" s="11">
        <f t="shared" si="7"/>
        <v>6</v>
      </c>
      <c r="C128" s="52">
        <v>0.11201983451843261</v>
      </c>
      <c r="D128" s="53">
        <v>0.11121993064880371</v>
      </c>
      <c r="E128" s="53">
        <v>0.1099946403503418</v>
      </c>
      <c r="F128" s="53">
        <v>0.11340605735778808</v>
      </c>
      <c r="G128" s="53">
        <v>0.11</v>
      </c>
      <c r="H128" s="54">
        <f t="shared" si="10"/>
        <v>0.11166011571884155</v>
      </c>
      <c r="I128" s="7">
        <v>11.44270320686941</v>
      </c>
      <c r="J128" s="18">
        <v>12.596783872929194</v>
      </c>
      <c r="K128" s="19">
        <v>6.0929897891577269</v>
      </c>
      <c r="L128" s="20">
        <v>5.2517114162335898E-2</v>
      </c>
      <c r="M128" s="52">
        <v>0.114</v>
      </c>
      <c r="N128" s="53">
        <v>0.121</v>
      </c>
      <c r="O128" s="55"/>
      <c r="P128" s="57"/>
      <c r="Q128" s="58"/>
    </row>
    <row r="129" spans="1:17" ht="14.4" x14ac:dyDescent="0.3">
      <c r="B129" s="11">
        <f t="shared" si="7"/>
        <v>7</v>
      </c>
      <c r="C129" s="52">
        <v>0.11398022651672363</v>
      </c>
      <c r="D129" s="53">
        <v>0.11161618232727051</v>
      </c>
      <c r="E129" s="53">
        <v>0.1099946403503418</v>
      </c>
      <c r="F129" s="53">
        <v>0.11248687744140624</v>
      </c>
      <c r="G129" s="53">
        <v>0.11</v>
      </c>
      <c r="H129" s="54">
        <f t="shared" si="10"/>
        <v>0.11201948165893554</v>
      </c>
      <c r="I129" s="7">
        <v>9.7917635741081597</v>
      </c>
      <c r="J129" s="18">
        <v>8.8086363295655872</v>
      </c>
      <c r="K129" s="19">
        <v>5.6982638558988015</v>
      </c>
      <c r="L129" s="20">
        <v>3.4313387343886601E-2</v>
      </c>
      <c r="M129" s="52">
        <v>9.8000000000000004E-2</v>
      </c>
      <c r="N129" s="53">
        <v>0.128</v>
      </c>
      <c r="O129" s="55"/>
      <c r="P129" s="57"/>
      <c r="Q129" s="58"/>
    </row>
    <row r="130" spans="1:17" ht="14.4" x14ac:dyDescent="0.3">
      <c r="B130" s="11">
        <f t="shared" si="7"/>
        <v>8</v>
      </c>
      <c r="C130" s="52">
        <v>0.11222994804382325</v>
      </c>
      <c r="D130" s="53">
        <v>0.11200860977172851</v>
      </c>
      <c r="E130" s="53">
        <v>0.1099946403503418</v>
      </c>
      <c r="F130" s="53">
        <v>0.11145003318786621</v>
      </c>
      <c r="G130" s="53">
        <v>0.11</v>
      </c>
      <c r="H130" s="54">
        <f t="shared" si="10"/>
        <v>0.11142080783843994</v>
      </c>
      <c r="I130" s="7">
        <v>11.214474885088777</v>
      </c>
      <c r="J130" s="18">
        <v>11.105074666007781</v>
      </c>
      <c r="K130" s="19">
        <v>7.8986566422813524</v>
      </c>
      <c r="L130" s="20">
        <v>0.120432408212863</v>
      </c>
      <c r="M130" s="52">
        <v>0.11199999999999999</v>
      </c>
      <c r="N130" s="53">
        <v>9.4E-2</v>
      </c>
      <c r="O130" s="55"/>
      <c r="P130" s="57"/>
      <c r="Q130" s="58"/>
    </row>
    <row r="131" spans="1:17" ht="14.4" x14ac:dyDescent="0.3">
      <c r="B131" s="11">
        <f t="shared" si="7"/>
        <v>9</v>
      </c>
      <c r="C131" s="52">
        <v>0.1131054973602295</v>
      </c>
      <c r="D131" s="53">
        <v>0.1123969841003418</v>
      </c>
      <c r="E131" s="53">
        <v>0.1099946403503418</v>
      </c>
      <c r="F131" s="53">
        <v>0.11041197776794434</v>
      </c>
      <c r="G131" s="53">
        <v>0.11</v>
      </c>
      <c r="H131" s="54">
        <f t="shared" si="10"/>
        <v>0.11147727489471435</v>
      </c>
      <c r="I131" s="7">
        <v>10.562632070505032</v>
      </c>
      <c r="J131" s="18">
        <v>10.93194629500195</v>
      </c>
      <c r="K131" s="19">
        <v>7.2098356093708844</v>
      </c>
      <c r="L131" s="20">
        <v>0.28954880994083698</v>
      </c>
      <c r="M131" s="52">
        <v>0.106</v>
      </c>
      <c r="N131" s="53">
        <v>0.106</v>
      </c>
      <c r="O131" s="55"/>
      <c r="P131" s="57"/>
      <c r="Q131" s="58"/>
    </row>
    <row r="132" spans="1:17" ht="14.4" x14ac:dyDescent="0.3">
      <c r="B132" s="11">
        <f t="shared" si="7"/>
        <v>10</v>
      </c>
      <c r="C132" s="52">
        <v>0.11320245742797852</v>
      </c>
      <c r="D132" s="53">
        <v>0.11278104782104492</v>
      </c>
      <c r="E132" s="53">
        <v>0.1099946403503418</v>
      </c>
      <c r="F132" s="53">
        <v>0.10947513580322266</v>
      </c>
      <c r="G132" s="53">
        <v>0.11</v>
      </c>
      <c r="H132" s="54">
        <f t="shared" si="10"/>
        <v>0.11136332035064697</v>
      </c>
      <c r="I132" s="7">
        <v>11.263961890976333</v>
      </c>
      <c r="J132" s="18">
        <v>11.273967807613971</v>
      </c>
      <c r="K132" s="19">
        <v>8.4666747643006914</v>
      </c>
      <c r="L132" s="20">
        <v>0.39053235784900497</v>
      </c>
      <c r="M132" s="52">
        <v>0.113</v>
      </c>
      <c r="N132" s="53">
        <v>0.109</v>
      </c>
      <c r="O132" s="55"/>
      <c r="P132" s="57"/>
      <c r="Q132" s="58"/>
    </row>
    <row r="133" spans="1:17" ht="14.4" x14ac:dyDescent="0.3">
      <c r="B133" s="11">
        <f t="shared" si="7"/>
        <v>11</v>
      </c>
      <c r="C133" s="52">
        <v>0.10964596748352051</v>
      </c>
      <c r="D133" s="53">
        <v>0.11316055297851563</v>
      </c>
      <c r="E133" s="53">
        <v>0.1099946403503418</v>
      </c>
      <c r="F133" s="53">
        <v>0.10871798515319825</v>
      </c>
      <c r="G133" s="53">
        <v>0.11</v>
      </c>
      <c r="H133" s="54">
        <f t="shared" si="10"/>
        <v>0.11037978649139404</v>
      </c>
      <c r="I133" s="7">
        <v>11.066470863234201</v>
      </c>
      <c r="J133" s="18">
        <v>11.813190134266378</v>
      </c>
      <c r="K133" s="19">
        <v>9.2378782138113991</v>
      </c>
      <c r="L133" s="20">
        <v>0.45986024763420102</v>
      </c>
      <c r="M133" s="52">
        <v>0.111</v>
      </c>
      <c r="N133" s="53">
        <v>0.11</v>
      </c>
      <c r="O133" s="55"/>
      <c r="P133" s="57"/>
      <c r="Q133" s="58"/>
    </row>
    <row r="134" spans="1:17" ht="14.4" x14ac:dyDescent="0.3">
      <c r="B134" s="11">
        <f t="shared" si="7"/>
        <v>12</v>
      </c>
      <c r="C134" s="52">
        <v>0.10570804595947265</v>
      </c>
      <c r="D134" s="53">
        <v>0.11353521347045899</v>
      </c>
      <c r="E134" s="53">
        <v>0.1099946403503418</v>
      </c>
      <c r="F134" s="53">
        <v>0.10818777084350586</v>
      </c>
      <c r="G134" s="53">
        <v>0.11</v>
      </c>
      <c r="H134" s="54">
        <f t="shared" si="10"/>
        <v>0.10935641765594484</v>
      </c>
      <c r="I134" s="7">
        <v>12.953107898428058</v>
      </c>
      <c r="J134" s="18">
        <v>14.29215875635056</v>
      </c>
      <c r="K134" s="19">
        <v>9.35011809754306</v>
      </c>
      <c r="L134" s="20">
        <v>0.240842832240072</v>
      </c>
      <c r="M134" s="52">
        <v>0.13</v>
      </c>
      <c r="N134" s="53">
        <v>0.10300000000000001</v>
      </c>
      <c r="O134" s="55"/>
      <c r="P134" s="57"/>
      <c r="Q134" s="58"/>
    </row>
    <row r="135" spans="1:17" ht="14.4" x14ac:dyDescent="0.3">
      <c r="A135" s="11">
        <f t="shared" ref="A135" si="13">A123+1</f>
        <v>2011</v>
      </c>
      <c r="B135" s="11">
        <f t="shared" si="7"/>
        <v>1</v>
      </c>
      <c r="C135" s="52">
        <v>0.1070588207244873</v>
      </c>
      <c r="D135" s="53">
        <v>0.11390473365783692</v>
      </c>
      <c r="E135" s="53">
        <v>0.1099946403503418</v>
      </c>
      <c r="F135" s="53">
        <v>0.10789686203002929</v>
      </c>
      <c r="G135" s="53">
        <v>0.11</v>
      </c>
      <c r="H135" s="54">
        <f t="shared" si="10"/>
        <v>0.10971376419067383</v>
      </c>
      <c r="I135" s="7"/>
      <c r="J135" s="18">
        <v>13.03896384027496</v>
      </c>
      <c r="K135" s="19">
        <v>8.8956702922912001</v>
      </c>
      <c r="L135" s="20">
        <v>0.26501205938713202</v>
      </c>
      <c r="M135" s="52">
        <v>0.13800000000000001</v>
      </c>
      <c r="N135" s="53">
        <v>0.122</v>
      </c>
      <c r="O135" s="55"/>
      <c r="P135" s="57"/>
      <c r="Q135" s="58"/>
    </row>
    <row r="136" spans="1:17" ht="14.4" x14ac:dyDescent="0.3">
      <c r="B136" s="11">
        <f t="shared" si="7"/>
        <v>2</v>
      </c>
      <c r="C136" s="52">
        <v>0.10741240501403809</v>
      </c>
      <c r="D136" s="53">
        <v>0.11426876068115234</v>
      </c>
      <c r="E136" s="53">
        <v>0.1099946403503418</v>
      </c>
      <c r="F136" s="53">
        <v>0.10782275199890137</v>
      </c>
      <c r="G136" s="53">
        <v>0.11</v>
      </c>
      <c r="H136" s="54">
        <f t="shared" si="10"/>
        <v>0.1098746395111084</v>
      </c>
      <c r="I136" s="7"/>
      <c r="J136" s="18">
        <v>9.152859843328244</v>
      </c>
      <c r="K136" s="19">
        <v>7.9076996873677246</v>
      </c>
      <c r="L136" s="20">
        <v>0.25554386429255499</v>
      </c>
      <c r="M136" s="52">
        <v>0.11</v>
      </c>
      <c r="N136" s="53">
        <v>0.11199999999999999</v>
      </c>
      <c r="O136" s="55"/>
      <c r="P136" s="57"/>
      <c r="Q136" s="58"/>
    </row>
    <row r="137" spans="1:17" ht="14.4" x14ac:dyDescent="0.3">
      <c r="B137" s="11">
        <f t="shared" si="7"/>
        <v>3</v>
      </c>
      <c r="C137" s="52">
        <v>0.10766984939575196</v>
      </c>
      <c r="D137" s="53">
        <v>0.1146269416809082</v>
      </c>
      <c r="E137" s="53">
        <v>0.1099946403503418</v>
      </c>
      <c r="F137" s="53">
        <v>0.1079118537902832</v>
      </c>
      <c r="G137" s="53">
        <v>0.11</v>
      </c>
      <c r="H137" s="54">
        <f t="shared" si="10"/>
        <v>0.11005082130432128</v>
      </c>
      <c r="I137" s="7"/>
      <c r="J137" s="18">
        <v>6.1294684046262944</v>
      </c>
      <c r="K137" s="19">
        <v>8.2511433895514728</v>
      </c>
      <c r="L137" s="20">
        <v>0.110795676703835</v>
      </c>
      <c r="M137" s="52">
        <v>0.08</v>
      </c>
      <c r="N137" s="53">
        <v>9.5000000000000001E-2</v>
      </c>
      <c r="O137" s="55"/>
      <c r="P137" s="57"/>
      <c r="Q137" s="58"/>
    </row>
    <row r="138" spans="1:17" ht="14.4" x14ac:dyDescent="0.3">
      <c r="B138" s="11">
        <f t="shared" si="7"/>
        <v>4</v>
      </c>
      <c r="C138" s="52">
        <v>0.11389016151428223</v>
      </c>
      <c r="D138" s="53">
        <v>0.1149788761138916</v>
      </c>
      <c r="E138" s="53">
        <v>0.11514945030212402</v>
      </c>
      <c r="F138" s="53">
        <v>0.11308651924133301</v>
      </c>
      <c r="G138" s="53">
        <v>0.115</v>
      </c>
      <c r="H138" s="54">
        <f t="shared" si="10"/>
        <v>0.11427625179290772</v>
      </c>
      <c r="I138" s="7"/>
      <c r="J138" s="18">
        <v>3.3249715457677809</v>
      </c>
      <c r="K138" s="19">
        <v>8.9036452547078682</v>
      </c>
      <c r="L138" s="20">
        <v>0.13913639374008099</v>
      </c>
      <c r="M138" s="52">
        <v>5.5E-2</v>
      </c>
      <c r="N138" s="53">
        <v>6.8000000000000005E-2</v>
      </c>
      <c r="O138" s="55"/>
      <c r="P138" s="57"/>
      <c r="Q138" s="58"/>
    </row>
    <row r="139" spans="1:17" ht="14.4" x14ac:dyDescent="0.3">
      <c r="B139" s="11">
        <f t="shared" si="7"/>
        <v>5</v>
      </c>
      <c r="C139" s="52">
        <v>0.11437579154968262</v>
      </c>
      <c r="D139" s="53">
        <v>0.11532412528991699</v>
      </c>
      <c r="E139" s="53">
        <v>0.11499464035034179</v>
      </c>
      <c r="F139" s="53">
        <v>0.11325445175170898</v>
      </c>
      <c r="G139" s="53">
        <v>0.115</v>
      </c>
      <c r="H139" s="54">
        <f t="shared" si="10"/>
        <v>0.11448725223541259</v>
      </c>
      <c r="I139" s="7"/>
      <c r="J139" s="18">
        <v>1.1902433130352676</v>
      </c>
      <c r="K139" s="19">
        <v>9.7950841227719394</v>
      </c>
      <c r="L139" s="20">
        <v>0.18245391353221299</v>
      </c>
      <c r="M139" s="52">
        <v>4.2000000000000003E-2</v>
      </c>
      <c r="N139" s="53">
        <v>3.7000000000000005E-2</v>
      </c>
      <c r="O139" s="55"/>
      <c r="P139" s="57"/>
      <c r="Q139" s="58"/>
    </row>
    <row r="140" spans="1:17" ht="14.4" x14ac:dyDescent="0.3">
      <c r="B140" s="11">
        <f t="shared" si="7"/>
        <v>6</v>
      </c>
      <c r="C140" s="52">
        <v>0.11481374740600586</v>
      </c>
      <c r="D140" s="53">
        <v>0.11566226959228515</v>
      </c>
      <c r="E140" s="53">
        <v>0.11499464035034179</v>
      </c>
      <c r="F140" s="53">
        <v>0.11331968307495117</v>
      </c>
      <c r="G140" s="53">
        <v>0.115</v>
      </c>
      <c r="H140" s="54">
        <f t="shared" si="10"/>
        <v>0.11469758510589599</v>
      </c>
      <c r="I140" s="7"/>
      <c r="J140" s="18">
        <v>2.6515131118557633</v>
      </c>
      <c r="K140" s="19">
        <v>10.672885789003246</v>
      </c>
      <c r="L140" s="20">
        <v>0.20236688929046201</v>
      </c>
      <c r="M140" s="52">
        <v>6.2E-2</v>
      </c>
      <c r="N140" s="53">
        <v>5.4000000000000006E-2</v>
      </c>
      <c r="O140" s="55"/>
      <c r="P140" s="57"/>
      <c r="Q140" s="58"/>
    </row>
    <row r="141" spans="1:17" ht="14.4" x14ac:dyDescent="0.3">
      <c r="B141" s="11">
        <f t="shared" si="7"/>
        <v>7</v>
      </c>
      <c r="C141" s="52">
        <v>0.11328166961669922</v>
      </c>
      <c r="D141" s="53">
        <v>0.11599287033081054</v>
      </c>
      <c r="E141" s="53">
        <v>0.11499464035034179</v>
      </c>
      <c r="F141" s="53">
        <v>0.11319380760192871</v>
      </c>
      <c r="G141" s="53">
        <v>0.115</v>
      </c>
      <c r="H141" s="54">
        <f t="shared" si="10"/>
        <v>0.11436574697494507</v>
      </c>
      <c r="I141" s="7"/>
      <c r="J141" s="18">
        <v>7.7676911523798111</v>
      </c>
      <c r="K141" s="19">
        <v>10.719444375403953</v>
      </c>
      <c r="L141" s="20">
        <v>0.23365200710817999</v>
      </c>
      <c r="M141" s="52">
        <v>0.10099999999999999</v>
      </c>
      <c r="N141" s="53">
        <v>9.4E-2</v>
      </c>
      <c r="O141" s="55"/>
      <c r="P141" s="57"/>
      <c r="Q141" s="58"/>
    </row>
    <row r="142" spans="1:17" ht="14.4" x14ac:dyDescent="0.3">
      <c r="B142" s="11">
        <f t="shared" si="7"/>
        <v>8</v>
      </c>
      <c r="C142" s="52">
        <v>0.11498575210571289</v>
      </c>
      <c r="D142" s="53">
        <v>0.11631547927856445</v>
      </c>
      <c r="E142" s="53">
        <v>0.11757205009460449</v>
      </c>
      <c r="F142" s="53">
        <v>0.11530635833740234</v>
      </c>
      <c r="G142" s="53">
        <v>0.11749999999999999</v>
      </c>
      <c r="H142" s="54">
        <f t="shared" si="10"/>
        <v>0.11604490995407103</v>
      </c>
      <c r="I142" s="7"/>
      <c r="J142" s="18">
        <v>7.0427226799150446</v>
      </c>
      <c r="K142" s="19">
        <v>8.1404213259104949</v>
      </c>
      <c r="L142" s="20">
        <v>0.209565412409742</v>
      </c>
      <c r="M142" s="52">
        <v>0.09</v>
      </c>
      <c r="N142" s="53">
        <v>8.3000000000000004E-2</v>
      </c>
      <c r="O142" s="55"/>
      <c r="P142" s="57"/>
      <c r="Q142" s="58"/>
    </row>
    <row r="143" spans="1:17" ht="14.4" x14ac:dyDescent="0.3">
      <c r="B143" s="11">
        <f t="shared" si="7"/>
        <v>9</v>
      </c>
      <c r="C143" s="52">
        <v>0.11416784286499024</v>
      </c>
      <c r="D143" s="53">
        <v>0.11662965774536133</v>
      </c>
      <c r="E143" s="53">
        <v>0.11749464035034179</v>
      </c>
      <c r="F143" s="53">
        <v>0.11461335182189941</v>
      </c>
      <c r="G143" s="53">
        <v>0.11749999999999999</v>
      </c>
      <c r="H143" s="54">
        <f t="shared" si="10"/>
        <v>0.1157263731956482</v>
      </c>
      <c r="I143" s="7"/>
      <c r="J143" s="18">
        <v>10.325995195195944</v>
      </c>
      <c r="K143" s="19">
        <v>10.055550781628966</v>
      </c>
      <c r="L143" s="20">
        <v>0.12138827625541</v>
      </c>
      <c r="M143" s="52">
        <v>0.105</v>
      </c>
      <c r="N143" s="53">
        <v>0.09</v>
      </c>
      <c r="O143" s="55"/>
      <c r="P143" s="57"/>
      <c r="Q143" s="58"/>
    </row>
    <row r="144" spans="1:17" ht="14.4" x14ac:dyDescent="0.3">
      <c r="B144" s="11">
        <f t="shared" ref="B144:B207" si="14">B132</f>
        <v>10</v>
      </c>
      <c r="C144" s="52">
        <v>0.12094352722167968</v>
      </c>
      <c r="D144" s="53">
        <v>0.11693495750427246</v>
      </c>
      <c r="E144" s="53">
        <v>0.12264945030212403</v>
      </c>
      <c r="F144" s="53">
        <v>0.11860311508178711</v>
      </c>
      <c r="G144" s="53">
        <v>0.1225</v>
      </c>
      <c r="H144" s="54">
        <f t="shared" si="10"/>
        <v>0.11978276252746582</v>
      </c>
      <c r="I144" s="7"/>
      <c r="J144" s="18">
        <v>11.81215071239032</v>
      </c>
      <c r="K144" s="19">
        <v>10.096800321342826</v>
      </c>
      <c r="L144" s="20">
        <v>-2.7650549616225699E-2</v>
      </c>
      <c r="M144" s="52">
        <v>0.109</v>
      </c>
      <c r="N144" s="53">
        <v>0.10099999999999999</v>
      </c>
      <c r="O144" s="55"/>
      <c r="P144" s="57"/>
      <c r="Q144" s="58"/>
    </row>
    <row r="145" spans="1:17" ht="14.4" x14ac:dyDescent="0.3">
      <c r="B145" s="11">
        <f t="shared" si="14"/>
        <v>11</v>
      </c>
      <c r="C145" s="52">
        <v>0.12225893020629883</v>
      </c>
      <c r="D145" s="53">
        <v>0.11723095893859864</v>
      </c>
      <c r="E145" s="53">
        <v>0.1224946403503418</v>
      </c>
      <c r="F145" s="53">
        <v>0.11729889869689941</v>
      </c>
      <c r="G145" s="53">
        <v>0.1225</v>
      </c>
      <c r="H145" s="54">
        <f t="shared" si="10"/>
        <v>0.11982085704803468</v>
      </c>
      <c r="I145" s="7"/>
      <c r="J145" s="18">
        <v>11.284003391085648</v>
      </c>
      <c r="K145" s="19">
        <v>9.836988781726987</v>
      </c>
      <c r="L145" s="20">
        <v>-0.11630264956929399</v>
      </c>
      <c r="M145" s="52">
        <v>0.10800000000000001</v>
      </c>
      <c r="N145" s="53">
        <v>0.107</v>
      </c>
      <c r="O145" s="55"/>
      <c r="P145" s="57"/>
      <c r="Q145" s="58"/>
    </row>
    <row r="146" spans="1:17" ht="14.4" x14ac:dyDescent="0.3">
      <c r="B146" s="11">
        <f t="shared" si="14"/>
        <v>12</v>
      </c>
      <c r="C146" s="52">
        <v>0.12312153816223144</v>
      </c>
      <c r="D146" s="53">
        <v>0.11751726150512695</v>
      </c>
      <c r="E146" s="53">
        <v>0.1224946403503418</v>
      </c>
      <c r="F146" s="53">
        <v>0.11575796127319336</v>
      </c>
      <c r="G146" s="53">
        <v>0.1225</v>
      </c>
      <c r="H146" s="54">
        <f t="shared" si="10"/>
        <v>0.1197228503227234</v>
      </c>
      <c r="I146" s="7">
        <v>8.9</v>
      </c>
      <c r="J146" s="18">
        <v>9.3946666621949788</v>
      </c>
      <c r="K146" s="19">
        <v>8.7490833249121778</v>
      </c>
      <c r="L146" s="20">
        <v>4.6557279741404903E-2</v>
      </c>
      <c r="M146" s="52">
        <v>8.900000000000001E-2</v>
      </c>
      <c r="N146" s="53">
        <v>8.199999999999999E-2</v>
      </c>
      <c r="O146" s="55"/>
      <c r="P146" s="57"/>
      <c r="Q146" s="58"/>
    </row>
    <row r="147" spans="1:17" ht="14.4" x14ac:dyDescent="0.3">
      <c r="A147" s="11">
        <f t="shared" ref="A147" si="15">A135+1</f>
        <v>2012</v>
      </c>
      <c r="B147" s="11">
        <f t="shared" si="14"/>
        <v>1</v>
      </c>
      <c r="C147" s="52">
        <v>0.12374083518981933</v>
      </c>
      <c r="D147" s="53">
        <v>0.11779352188110352</v>
      </c>
      <c r="E147" s="53">
        <v>0.1224946403503418</v>
      </c>
      <c r="F147" s="53">
        <v>0.11406745910644531</v>
      </c>
      <c r="G147" s="53">
        <v>0.1225</v>
      </c>
      <c r="H147" s="54">
        <f t="shared" si="10"/>
        <v>0.11952411413192748</v>
      </c>
      <c r="I147" s="7">
        <v>10.180204786372244</v>
      </c>
      <c r="J147" s="18">
        <v>10.907421233970126</v>
      </c>
      <c r="K147" s="19">
        <v>10.457512847499018</v>
      </c>
      <c r="L147" s="20">
        <v>7.7104506137416706E-2</v>
      </c>
      <c r="M147" s="52">
        <v>0.10199999999999999</v>
      </c>
      <c r="N147" s="53">
        <v>7.5999999999999998E-2</v>
      </c>
      <c r="O147" s="55"/>
      <c r="P147" s="57"/>
      <c r="Q147" s="58"/>
    </row>
    <row r="148" spans="1:17" ht="14.4" x14ac:dyDescent="0.3">
      <c r="B148" s="11">
        <f t="shared" si="14"/>
        <v>2</v>
      </c>
      <c r="C148" s="52">
        <v>0.12012203216552735</v>
      </c>
      <c r="D148" s="53">
        <v>0.11805942535400391</v>
      </c>
      <c r="E148" s="53">
        <v>0.1224946403503418</v>
      </c>
      <c r="F148" s="53">
        <v>0.1123375129699707</v>
      </c>
      <c r="G148" s="53">
        <v>0.1225</v>
      </c>
      <c r="H148" s="54">
        <f t="shared" si="10"/>
        <v>0.11825340270996093</v>
      </c>
      <c r="I148" s="7">
        <v>12.396783911989786</v>
      </c>
      <c r="J148" s="18">
        <v>13.392414657174086</v>
      </c>
      <c r="K148" s="19">
        <v>10.978977397954907</v>
      </c>
      <c r="L148" s="20">
        <v>0.203564609908927</v>
      </c>
      <c r="M148" s="52">
        <v>0.124</v>
      </c>
      <c r="N148" s="53">
        <v>0.10400000000000001</v>
      </c>
      <c r="O148" s="55"/>
      <c r="P148" s="57"/>
      <c r="Q148" s="58"/>
    </row>
    <row r="149" spans="1:17" ht="14.4" x14ac:dyDescent="0.3">
      <c r="B149" s="11">
        <f t="shared" si="14"/>
        <v>3</v>
      </c>
      <c r="C149" s="52">
        <v>0.12467370033264161</v>
      </c>
      <c r="D149" s="53">
        <v>0.11831470489501954</v>
      </c>
      <c r="E149" s="53">
        <v>0.12764945030212402</v>
      </c>
      <c r="F149" s="53">
        <v>0.11569209098815918</v>
      </c>
      <c r="G149" s="53">
        <v>0.1275</v>
      </c>
      <c r="H149" s="54">
        <f t="shared" si="10"/>
        <v>0.12158248662948608</v>
      </c>
      <c r="I149" s="7">
        <v>15.340235936739219</v>
      </c>
      <c r="J149" s="18">
        <v>17.301276218125949</v>
      </c>
      <c r="K149" s="19">
        <v>11.257666056225403</v>
      </c>
      <c r="L149" s="20">
        <v>0.19343630210739701</v>
      </c>
      <c r="M149" s="52">
        <v>0.153</v>
      </c>
      <c r="N149" s="53">
        <v>0.13500000000000001</v>
      </c>
      <c r="O149" s="55"/>
      <c r="P149" s="57"/>
      <c r="Q149" s="58"/>
    </row>
    <row r="150" spans="1:17" ht="14.4" x14ac:dyDescent="0.3">
      <c r="B150" s="11">
        <f t="shared" si="14"/>
        <v>4</v>
      </c>
      <c r="C150" s="52">
        <v>0.12971194267272948</v>
      </c>
      <c r="D150" s="53">
        <v>0.11855912208557129</v>
      </c>
      <c r="E150" s="53">
        <v>0.13264945030212402</v>
      </c>
      <c r="F150" s="53">
        <v>0.11925884246826172</v>
      </c>
      <c r="G150" s="53">
        <v>0.13250000000000001</v>
      </c>
      <c r="H150" s="54">
        <f t="shared" si="10"/>
        <v>0.12504483938217162</v>
      </c>
      <c r="I150" s="7">
        <v>15.99079582087704</v>
      </c>
      <c r="J150" s="18">
        <v>17.766620700904795</v>
      </c>
      <c r="K150" s="19">
        <v>10.93896987605784</v>
      </c>
      <c r="L150" s="20">
        <v>0.14486184350081499</v>
      </c>
      <c r="M150" s="52">
        <v>0.16</v>
      </c>
      <c r="N150" s="53">
        <v>0.156</v>
      </c>
      <c r="O150" s="55"/>
      <c r="P150" s="57"/>
      <c r="Q150" s="58"/>
    </row>
    <row r="151" spans="1:17" ht="14.4" x14ac:dyDescent="0.3">
      <c r="B151" s="11">
        <f t="shared" si="14"/>
        <v>5</v>
      </c>
      <c r="C151" s="52">
        <v>0.12917790412902833</v>
      </c>
      <c r="D151" s="53">
        <v>0.11879250526428223</v>
      </c>
      <c r="E151" s="53">
        <v>0.13249464035034181</v>
      </c>
      <c r="F151" s="53">
        <v>0.1181587028503418</v>
      </c>
      <c r="G151" s="53">
        <v>0.13250000000000001</v>
      </c>
      <c r="H151" s="54">
        <f t="shared" si="10"/>
        <v>0.12465593814849854</v>
      </c>
      <c r="I151" s="7">
        <v>15.371586476797489</v>
      </c>
      <c r="J151" s="18">
        <v>16.555981477656871</v>
      </c>
      <c r="K151" s="19">
        <v>10.578341607323154</v>
      </c>
      <c r="L151" s="20">
        <v>-0.121766409573501</v>
      </c>
      <c r="M151" s="52">
        <v>0.154</v>
      </c>
      <c r="N151" s="53">
        <v>0.14499999999999999</v>
      </c>
      <c r="O151" s="55"/>
      <c r="P151" s="57"/>
      <c r="Q151" s="58"/>
    </row>
    <row r="152" spans="1:17" ht="14.4" x14ac:dyDescent="0.3">
      <c r="B152" s="11">
        <f t="shared" si="14"/>
        <v>6</v>
      </c>
      <c r="C152" s="52">
        <v>0.12861671447753906</v>
      </c>
      <c r="D152" s="53">
        <v>0.1190147876739502</v>
      </c>
      <c r="E152" s="53">
        <v>0.13249464035034181</v>
      </c>
      <c r="F152" s="53">
        <v>0.11749628067016601</v>
      </c>
      <c r="G152" s="53">
        <v>0.13250000000000001</v>
      </c>
      <c r="H152" s="54">
        <f t="shared" si="10"/>
        <v>0.12440560579299928</v>
      </c>
      <c r="I152" s="7">
        <v>14.671035173984876</v>
      </c>
      <c r="J152" s="18">
        <v>15.123979589076171</v>
      </c>
      <c r="K152" s="19">
        <v>9.2446760433906832</v>
      </c>
      <c r="L152" s="20">
        <v>7.9121402046885697E-3</v>
      </c>
      <c r="M152" s="52">
        <v>0.14699999999999999</v>
      </c>
      <c r="N152" s="53">
        <v>0.13699999999999998</v>
      </c>
      <c r="O152" s="55"/>
      <c r="P152" s="57"/>
      <c r="Q152" s="58"/>
    </row>
    <row r="153" spans="1:17" ht="14.4" x14ac:dyDescent="0.3">
      <c r="B153" s="11">
        <f t="shared" si="14"/>
        <v>7</v>
      </c>
      <c r="C153" s="52">
        <v>0.1288875961303711</v>
      </c>
      <c r="D153" s="53">
        <v>0.11922602653503418</v>
      </c>
      <c r="E153" s="53">
        <v>0.13249464035034181</v>
      </c>
      <c r="F153" s="53">
        <v>0.1173519515991211</v>
      </c>
      <c r="G153" s="53">
        <v>0.13250000000000001</v>
      </c>
      <c r="H153" s="54">
        <f t="shared" si="10"/>
        <v>0.12449005365371704</v>
      </c>
      <c r="I153" s="7">
        <v>14.535537461704948</v>
      </c>
      <c r="J153" s="18">
        <v>14.919509299371612</v>
      </c>
      <c r="K153" s="19">
        <v>8.9</v>
      </c>
      <c r="L153" s="20">
        <v>3.4955940047199298E-2</v>
      </c>
      <c r="M153" s="52">
        <v>0.14499999999999999</v>
      </c>
      <c r="N153" s="53">
        <v>0.13600000000000001</v>
      </c>
      <c r="O153" s="55"/>
      <c r="P153" s="57"/>
      <c r="Q153" s="58"/>
    </row>
    <row r="154" spans="1:17" ht="14.4" x14ac:dyDescent="0.3">
      <c r="B154" s="11">
        <f t="shared" si="14"/>
        <v>8</v>
      </c>
      <c r="C154" s="52">
        <v>0.12943192481994628</v>
      </c>
      <c r="D154" s="53">
        <v>0.11942635536193848</v>
      </c>
      <c r="E154" s="53">
        <v>0.13249464035034181</v>
      </c>
      <c r="F154" s="53">
        <v>0.11777613639831543</v>
      </c>
      <c r="G154" s="53">
        <v>0.13250000000000001</v>
      </c>
      <c r="H154" s="54">
        <f t="shared" si="10"/>
        <v>0.1247822642326355</v>
      </c>
      <c r="I154" s="7">
        <v>14.926533424801718</v>
      </c>
      <c r="J154" s="18">
        <v>15.59849015035654</v>
      </c>
      <c r="K154" s="19">
        <v>10.1</v>
      </c>
      <c r="L154" s="20">
        <v>-8.7647810066547996E-2</v>
      </c>
      <c r="M154" s="52">
        <v>0.14899999999999999</v>
      </c>
      <c r="N154" s="53">
        <v>0.13300000000000001</v>
      </c>
      <c r="O154" s="55"/>
      <c r="P154" s="57"/>
      <c r="Q154" s="58"/>
    </row>
    <row r="155" spans="1:17" ht="14.4" x14ac:dyDescent="0.3">
      <c r="B155" s="11">
        <f t="shared" si="14"/>
        <v>9</v>
      </c>
      <c r="C155" s="52">
        <v>0.1301358985900879</v>
      </c>
      <c r="D155" s="53">
        <v>0.11961603164672852</v>
      </c>
      <c r="E155" s="53">
        <v>0.13249464035034181</v>
      </c>
      <c r="F155" s="53">
        <v>0.11878639221191406</v>
      </c>
      <c r="G155" s="53">
        <v>0.13250000000000001</v>
      </c>
      <c r="H155" s="54">
        <f t="shared" si="10"/>
        <v>0.12525824069976807</v>
      </c>
      <c r="I155" s="7">
        <v>14.845543457311862</v>
      </c>
      <c r="J155" s="18">
        <v>15.069051111467459</v>
      </c>
      <c r="K155" s="19">
        <v>10.669817724671816</v>
      </c>
      <c r="L155" s="20">
        <v>-0.138770117424421</v>
      </c>
      <c r="M155" s="52">
        <v>0.14800000000000002</v>
      </c>
      <c r="N155" s="53">
        <v>0.13</v>
      </c>
      <c r="O155" s="55"/>
      <c r="P155" s="57"/>
      <c r="Q155" s="58"/>
    </row>
    <row r="156" spans="1:17" ht="14.4" x14ac:dyDescent="0.3">
      <c r="B156" s="11">
        <f t="shared" si="14"/>
        <v>10</v>
      </c>
      <c r="C156" s="52">
        <v>0.12819104194641112</v>
      </c>
      <c r="D156" s="53">
        <v>0.11979541778564454</v>
      </c>
      <c r="E156" s="53">
        <v>0.13249464035034181</v>
      </c>
      <c r="F156" s="53">
        <v>0.12036707878112793</v>
      </c>
      <c r="G156" s="53">
        <v>0.13250000000000001</v>
      </c>
      <c r="H156" s="54">
        <f t="shared" si="10"/>
        <v>0.12521204471588135</v>
      </c>
      <c r="I156" s="7">
        <v>15.024981952752569</v>
      </c>
      <c r="J156" s="18">
        <v>14.986385267580616</v>
      </c>
      <c r="K156" s="19">
        <v>11.442784593024015</v>
      </c>
      <c r="L156" s="20">
        <v>-6.2283284262624798E-2</v>
      </c>
      <c r="M156" s="52">
        <v>0.15</v>
      </c>
      <c r="N156" s="53">
        <v>0.13600000000000001</v>
      </c>
      <c r="O156" s="55"/>
      <c r="P156" s="57"/>
      <c r="Q156" s="58"/>
    </row>
    <row r="157" spans="1:17" ht="14.4" x14ac:dyDescent="0.3">
      <c r="B157" s="11">
        <f t="shared" si="14"/>
        <v>11</v>
      </c>
      <c r="C157" s="52">
        <v>0.1286044979095459</v>
      </c>
      <c r="D157" s="53">
        <v>0.11996495246887207</v>
      </c>
      <c r="E157" s="53">
        <v>0.13249464035034181</v>
      </c>
      <c r="F157" s="53">
        <v>0.12247181892395019</v>
      </c>
      <c r="G157" s="53">
        <v>0.13250000000000001</v>
      </c>
      <c r="H157" s="54">
        <f t="shared" si="10"/>
        <v>0.1258839774131775</v>
      </c>
      <c r="I157" s="7">
        <v>14.378553912230714</v>
      </c>
      <c r="J157" s="18">
        <v>14.21582531791924</v>
      </c>
      <c r="K157" s="19">
        <v>10.708597928749299</v>
      </c>
      <c r="L157" s="20">
        <v>6.5447058092719501E-2</v>
      </c>
      <c r="M157" s="52">
        <v>0.14400000000000002</v>
      </c>
      <c r="N157" s="53">
        <v>0.14400000000000002</v>
      </c>
      <c r="O157" s="55"/>
      <c r="P157" s="57"/>
      <c r="Q157" s="58"/>
    </row>
    <row r="158" spans="1:17" ht="14.4" x14ac:dyDescent="0.3">
      <c r="B158" s="11">
        <f t="shared" si="14"/>
        <v>12</v>
      </c>
      <c r="C158" s="52">
        <v>0.12865654945373536</v>
      </c>
      <c r="D158" s="53">
        <v>0.12012518882751465</v>
      </c>
      <c r="E158" s="53">
        <v>0.13249464035034181</v>
      </c>
      <c r="F158" s="53">
        <v>0.1250279140472412</v>
      </c>
      <c r="G158" s="53">
        <v>0.13250000000000001</v>
      </c>
      <c r="H158" s="54">
        <f t="shared" si="10"/>
        <v>0.12657607316970826</v>
      </c>
      <c r="I158" s="7">
        <v>14.015886679427311</v>
      </c>
      <c r="J158" s="18">
        <v>14.215843377881853</v>
      </c>
      <c r="K158" s="19">
        <v>11.1</v>
      </c>
      <c r="L158" s="20">
        <v>9.7643826052483604E-2</v>
      </c>
      <c r="M158" s="52">
        <v>0.14000000000000001</v>
      </c>
      <c r="N158" s="53">
        <v>0.13200000000000001</v>
      </c>
      <c r="O158" s="55"/>
      <c r="P158" s="57"/>
      <c r="Q158" s="58"/>
    </row>
    <row r="159" spans="1:17" ht="14.4" x14ac:dyDescent="0.3">
      <c r="A159" s="11">
        <f t="shared" ref="A159" si="16">A147+1</f>
        <v>2013</v>
      </c>
      <c r="B159" s="11">
        <f t="shared" si="14"/>
        <v>1</v>
      </c>
      <c r="C159" s="52">
        <v>0.12227367401123047</v>
      </c>
      <c r="D159" s="53">
        <v>0.12027677536010742</v>
      </c>
      <c r="E159" s="53">
        <v>0.12476242065429688</v>
      </c>
      <c r="F159" s="53">
        <v>0.120442476272583</v>
      </c>
      <c r="G159" s="53">
        <v>0.125</v>
      </c>
      <c r="H159" s="54">
        <f t="shared" si="10"/>
        <v>0.12193883657455445</v>
      </c>
      <c r="I159" s="7">
        <v>12.609610152765811</v>
      </c>
      <c r="J159" s="18">
        <v>11.910852410303463</v>
      </c>
      <c r="K159" s="19">
        <v>9.6</v>
      </c>
      <c r="L159" s="20">
        <v>0.13216048460617999</v>
      </c>
      <c r="M159" s="52">
        <v>0.13</v>
      </c>
      <c r="N159" s="53">
        <v>0.11</v>
      </c>
      <c r="O159" s="55"/>
      <c r="P159" s="57"/>
      <c r="Q159" s="58"/>
    </row>
    <row r="160" spans="1:17" ht="14.4" x14ac:dyDescent="0.3">
      <c r="B160" s="11">
        <f t="shared" si="14"/>
        <v>2</v>
      </c>
      <c r="C160" s="52">
        <v>0.12116814613342285</v>
      </c>
      <c r="D160" s="53">
        <v>0.12042045593261719</v>
      </c>
      <c r="E160" s="53">
        <v>0.1249946403503418</v>
      </c>
      <c r="F160" s="53">
        <v>0.12360932350158692</v>
      </c>
      <c r="G160" s="53">
        <v>0.125</v>
      </c>
      <c r="H160" s="54">
        <f t="shared" si="10"/>
        <v>0.1225481414794922</v>
      </c>
      <c r="I160" s="7">
        <v>10.931492076090592</v>
      </c>
      <c r="J160" s="18">
        <v>10.410755952893126</v>
      </c>
      <c r="K160" s="19">
        <v>8.7239143555848955</v>
      </c>
      <c r="L160" s="20">
        <v>8.2746669789160301E-2</v>
      </c>
      <c r="M160" s="52">
        <v>0.113</v>
      </c>
      <c r="N160" s="53">
        <v>0.109</v>
      </c>
      <c r="O160" s="55"/>
      <c r="P160" s="57"/>
      <c r="Q160" s="58"/>
    </row>
    <row r="161" spans="1:17" ht="14.4" x14ac:dyDescent="0.3">
      <c r="B161" s="11">
        <f t="shared" si="14"/>
        <v>3</v>
      </c>
      <c r="C161" s="52">
        <v>0.12058677673339843</v>
      </c>
      <c r="D161" s="53">
        <v>0.12055700302124023</v>
      </c>
      <c r="E161" s="53">
        <v>0.1249946403503418</v>
      </c>
      <c r="F161" s="53">
        <v>0.12691599845886231</v>
      </c>
      <c r="G161" s="53">
        <v>0.125</v>
      </c>
      <c r="H161" s="54">
        <f t="shared" si="10"/>
        <v>0.12326360464096069</v>
      </c>
      <c r="I161" s="7">
        <v>9.2534288757585728</v>
      </c>
      <c r="J161" s="18">
        <v>8.3245503454014909</v>
      </c>
      <c r="K161" s="19">
        <v>9.1999999999999993</v>
      </c>
      <c r="L161" s="20">
        <v>2.1969372570741798E-2</v>
      </c>
      <c r="M161" s="52">
        <v>9.8000000000000004E-2</v>
      </c>
      <c r="N161" s="53">
        <v>9.9000000000000005E-2</v>
      </c>
      <c r="O161" s="55"/>
      <c r="P161" s="57"/>
      <c r="Q161" s="58"/>
    </row>
    <row r="162" spans="1:17" ht="14.4" x14ac:dyDescent="0.3">
      <c r="B162" s="11">
        <f t="shared" si="14"/>
        <v>4</v>
      </c>
      <c r="C162" s="52">
        <v>0.1113709831237793</v>
      </c>
      <c r="D162" s="53">
        <v>0.1206872272491455</v>
      </c>
      <c r="E162" s="53">
        <v>0.11468501091003418</v>
      </c>
      <c r="F162" s="53">
        <v>0.12025031089782715</v>
      </c>
      <c r="G162" s="53">
        <v>0.115</v>
      </c>
      <c r="H162" s="54">
        <f t="shared" si="10"/>
        <v>0.11674838304519652</v>
      </c>
      <c r="I162" s="7">
        <v>9.9479162030769004</v>
      </c>
      <c r="J162" s="18">
        <v>8.8903929358307323</v>
      </c>
      <c r="K162" s="19">
        <v>9.3000000000000007</v>
      </c>
      <c r="L162" s="20">
        <v>-3.86092736363986E-2</v>
      </c>
      <c r="M162" s="52">
        <v>0.10400000000000001</v>
      </c>
      <c r="N162" s="53">
        <v>0.10099999999999999</v>
      </c>
      <c r="O162" s="55"/>
      <c r="P162" s="57"/>
      <c r="Q162" s="58"/>
    </row>
    <row r="163" spans="1:17" ht="14.4" x14ac:dyDescent="0.3">
      <c r="B163" s="11">
        <f t="shared" si="14"/>
        <v>5</v>
      </c>
      <c r="C163" s="52">
        <v>0.11290032386779786</v>
      </c>
      <c r="D163" s="53">
        <v>0.12081198692321778</v>
      </c>
      <c r="E163" s="53">
        <v>0.11499464035034179</v>
      </c>
      <c r="F163" s="53">
        <v>0.12350579261779786</v>
      </c>
      <c r="G163" s="53">
        <v>0.115</v>
      </c>
      <c r="H163" s="54">
        <f t="shared" si="10"/>
        <v>0.11805318593978882</v>
      </c>
      <c r="I163" s="7">
        <v>9.151891511386836</v>
      </c>
      <c r="J163" s="18">
        <v>7.3550394197249176</v>
      </c>
      <c r="K163" s="19">
        <v>7.6</v>
      </c>
      <c r="L163" s="20">
        <v>7.2955600776372503E-2</v>
      </c>
      <c r="M163" s="52">
        <v>9.6999999999999989E-2</v>
      </c>
      <c r="N163" s="53">
        <v>0.1</v>
      </c>
      <c r="O163" s="55"/>
      <c r="P163" s="57"/>
      <c r="Q163" s="58"/>
    </row>
    <row r="164" spans="1:17" ht="14.4" x14ac:dyDescent="0.3">
      <c r="B164" s="11">
        <f t="shared" si="14"/>
        <v>6</v>
      </c>
      <c r="C164" s="52">
        <v>0.10329954147338867</v>
      </c>
      <c r="D164" s="53">
        <v>0.12093208312988281</v>
      </c>
      <c r="E164" s="53">
        <v>0.10468501091003418</v>
      </c>
      <c r="F164" s="53">
        <v>0.11658576011657715</v>
      </c>
      <c r="G164" s="53">
        <v>0.105</v>
      </c>
      <c r="H164" s="54">
        <f t="shared" ref="H164:H227" si="17">AVERAGE(C164:F164)</f>
        <v>0.1113755989074707</v>
      </c>
      <c r="I164" s="7">
        <v>8.2533217730620549</v>
      </c>
      <c r="J164" s="18">
        <v>6.5111649418340107</v>
      </c>
      <c r="K164" s="19">
        <v>7.1</v>
      </c>
      <c r="L164" s="20">
        <v>-3.3660531419628902E-2</v>
      </c>
      <c r="M164" s="52">
        <v>8.8000000000000009E-2</v>
      </c>
      <c r="N164" s="53">
        <v>9.1999999999999998E-2</v>
      </c>
      <c r="O164" s="55"/>
      <c r="P164" s="57"/>
      <c r="Q164" s="58"/>
    </row>
    <row r="165" spans="1:17" ht="14.4" x14ac:dyDescent="0.3">
      <c r="B165" s="11">
        <f t="shared" si="14"/>
        <v>7</v>
      </c>
      <c r="C165" s="52">
        <v>0.10341684341430664</v>
      </c>
      <c r="D165" s="53">
        <v>0.12104826927185058</v>
      </c>
      <c r="E165" s="53">
        <v>0.1049946403503418</v>
      </c>
      <c r="F165" s="53">
        <v>0.11940591812133788</v>
      </c>
      <c r="G165" s="53">
        <v>0.105</v>
      </c>
      <c r="H165" s="54">
        <f t="shared" si="17"/>
        <v>0.11221641778945922</v>
      </c>
      <c r="I165" s="7">
        <v>7.8276897344911873</v>
      </c>
      <c r="J165" s="18">
        <v>6.0691981368289163</v>
      </c>
      <c r="K165" s="19">
        <v>7.4</v>
      </c>
      <c r="L165" s="20">
        <v>-5.1816088889465997E-2</v>
      </c>
      <c r="M165" s="52">
        <v>8.3000000000000004E-2</v>
      </c>
      <c r="N165" s="53">
        <v>8.4000000000000005E-2</v>
      </c>
      <c r="O165" s="55"/>
      <c r="P165" s="57"/>
      <c r="Q165" s="58"/>
    </row>
    <row r="166" spans="1:17" ht="14.4" x14ac:dyDescent="0.3">
      <c r="B166" s="11">
        <f t="shared" si="14"/>
        <v>8</v>
      </c>
      <c r="C166" s="52">
        <v>0.10604889869689942</v>
      </c>
      <c r="D166" s="53">
        <v>0.12116118431091309</v>
      </c>
      <c r="E166" s="53">
        <v>0.1049946403503418</v>
      </c>
      <c r="F166" s="53">
        <v>0.12189549446105957</v>
      </c>
      <c r="G166" s="53">
        <v>0.105</v>
      </c>
      <c r="H166" s="54">
        <f t="shared" si="17"/>
        <v>0.11352505445480347</v>
      </c>
      <c r="I166" s="7">
        <v>8.7797921524808231</v>
      </c>
      <c r="J166" s="18">
        <v>7.1468398999047622</v>
      </c>
      <c r="K166" s="19">
        <v>9.6</v>
      </c>
      <c r="L166" s="20">
        <v>7.8407359756567693E-2</v>
      </c>
      <c r="M166" s="52">
        <v>9.4E-2</v>
      </c>
      <c r="N166" s="53">
        <v>7.2999999999999995E-2</v>
      </c>
      <c r="O166" s="55"/>
      <c r="P166" s="57"/>
      <c r="Q166" s="58"/>
    </row>
    <row r="167" spans="1:17" ht="14.4" x14ac:dyDescent="0.3">
      <c r="B167" s="11">
        <f t="shared" si="14"/>
        <v>9</v>
      </c>
      <c r="C167" s="52">
        <v>0.10998069763183593</v>
      </c>
      <c r="D167" s="53">
        <v>0.12127134323120117</v>
      </c>
      <c r="E167" s="53">
        <v>0.1049946403503418</v>
      </c>
      <c r="F167" s="53">
        <v>0.12399720191955567</v>
      </c>
      <c r="G167" s="53">
        <v>0.105</v>
      </c>
      <c r="H167" s="54">
        <f t="shared" si="17"/>
        <v>0.11506097078323364</v>
      </c>
      <c r="I167" s="7">
        <v>9.1085317376720951</v>
      </c>
      <c r="J167" s="18">
        <v>6.9440884255811568</v>
      </c>
      <c r="K167" s="19">
        <v>8.1</v>
      </c>
      <c r="L167" s="20">
        <v>-1.18631021110026E-2</v>
      </c>
      <c r="M167" s="52">
        <v>9.9000000000000005E-2</v>
      </c>
      <c r="N167" s="53">
        <v>8.1000000000000003E-2</v>
      </c>
      <c r="O167" s="55"/>
      <c r="P167" s="57"/>
      <c r="Q167" s="58"/>
    </row>
    <row r="168" spans="1:17" ht="14.4" x14ac:dyDescent="0.3">
      <c r="B168" s="11">
        <f t="shared" si="14"/>
        <v>10</v>
      </c>
      <c r="C168" s="52">
        <v>0.11070387840270995</v>
      </c>
      <c r="D168" s="53">
        <v>0.12137912750244141</v>
      </c>
      <c r="E168" s="53">
        <v>0.1049946403503418</v>
      </c>
      <c r="F168" s="53">
        <v>0.12566649436950683</v>
      </c>
      <c r="G168" s="53">
        <v>0.105</v>
      </c>
      <c r="H168" s="54">
        <f t="shared" si="17"/>
        <v>0.11568603515624999</v>
      </c>
      <c r="I168" s="7">
        <v>10.18567068329105</v>
      </c>
      <c r="J168" s="18">
        <v>8.4543934987895284</v>
      </c>
      <c r="K168" s="19">
        <v>9.4</v>
      </c>
      <c r="L168" s="20">
        <v>4.4774946834669697E-2</v>
      </c>
      <c r="M168" s="52">
        <v>0.107</v>
      </c>
      <c r="N168" s="53">
        <v>0.09</v>
      </c>
      <c r="O168" s="55"/>
      <c r="P168" s="57"/>
      <c r="Q168" s="58"/>
    </row>
    <row r="169" spans="1:17" ht="14.4" x14ac:dyDescent="0.3">
      <c r="B169" s="11">
        <f t="shared" si="14"/>
        <v>11</v>
      </c>
      <c r="C169" s="52">
        <v>0.11189309120178223</v>
      </c>
      <c r="D169" s="53">
        <v>0.12148480415344239</v>
      </c>
      <c r="E169" s="53">
        <v>0.1049946403503418</v>
      </c>
      <c r="F169" s="53">
        <v>0.12687036514282227</v>
      </c>
      <c r="G169" s="53">
        <v>0.105</v>
      </c>
      <c r="H169" s="54">
        <f t="shared" si="17"/>
        <v>0.11631072521209718</v>
      </c>
      <c r="I169" s="7">
        <v>11.421558682076224</v>
      </c>
      <c r="J169" s="18">
        <v>10.117023356933785</v>
      </c>
      <c r="K169" s="19">
        <v>11</v>
      </c>
      <c r="L169" s="20">
        <v>4.70824469380324E-3</v>
      </c>
      <c r="M169" s="52">
        <v>0.11900000000000001</v>
      </c>
      <c r="N169" s="53">
        <v>0.111</v>
      </c>
      <c r="O169" s="55"/>
      <c r="P169" s="57"/>
      <c r="Q169" s="58"/>
    </row>
    <row r="170" spans="1:17" ht="14.4" x14ac:dyDescent="0.3">
      <c r="B170" s="11">
        <f t="shared" si="14"/>
        <v>12</v>
      </c>
      <c r="C170" s="52">
        <v>0.10795212745666503</v>
      </c>
      <c r="D170" s="53">
        <v>0.12158850669860839</v>
      </c>
      <c r="E170" s="53">
        <v>0.1049946403503418</v>
      </c>
      <c r="F170" s="53">
        <v>0.12758639335632324</v>
      </c>
      <c r="G170" s="53">
        <v>0.105</v>
      </c>
      <c r="H170" s="54">
        <f t="shared" si="17"/>
        <v>0.11553041696548461</v>
      </c>
      <c r="I170" s="7">
        <v>11.924345978924862</v>
      </c>
      <c r="J170" s="18">
        <v>11.188717030465767</v>
      </c>
      <c r="K170" s="19">
        <v>12.1</v>
      </c>
      <c r="L170" s="20">
        <v>-5.51373198537927E-2</v>
      </c>
      <c r="M170" s="52">
        <v>0.125</v>
      </c>
      <c r="N170" s="53">
        <v>0.113</v>
      </c>
      <c r="O170" s="55"/>
      <c r="P170" s="57"/>
      <c r="Q170" s="58"/>
    </row>
    <row r="171" spans="1:17" ht="14.4" x14ac:dyDescent="0.3">
      <c r="A171" s="11">
        <f t="shared" ref="A171" si="18">A159+1</f>
        <v>2014</v>
      </c>
      <c r="B171" s="11">
        <f t="shared" si="14"/>
        <v>1</v>
      </c>
      <c r="C171" s="52">
        <v>0.11030543327331543</v>
      </c>
      <c r="D171" s="53">
        <v>0.12169025421142578</v>
      </c>
      <c r="E171" s="53">
        <v>0.1049946403503418</v>
      </c>
      <c r="F171" s="53">
        <v>0.12780210494995117</v>
      </c>
      <c r="G171" s="53">
        <v>0.105</v>
      </c>
      <c r="H171" s="54">
        <f t="shared" si="17"/>
        <v>0.11619810819625853</v>
      </c>
      <c r="I171" s="7">
        <v>12.302482243013429</v>
      </c>
      <c r="J171" s="18">
        <v>12.189245406238484</v>
      </c>
      <c r="K171" s="19">
        <v>12.6</v>
      </c>
      <c r="L171" s="20">
        <v>-7.0785416468286302E-2</v>
      </c>
      <c r="M171" s="52">
        <v>0.12300000000000001</v>
      </c>
      <c r="N171" s="53">
        <v>0.106</v>
      </c>
      <c r="O171" s="55"/>
      <c r="P171" s="57"/>
      <c r="Q171" s="58"/>
    </row>
    <row r="172" spans="1:17" ht="14.4" x14ac:dyDescent="0.3">
      <c r="B172" s="11">
        <f t="shared" si="14"/>
        <v>2</v>
      </c>
      <c r="C172" s="52">
        <v>0.11061580657958985</v>
      </c>
      <c r="D172" s="53">
        <v>0.12178991317749023</v>
      </c>
      <c r="E172" s="53">
        <v>0.1049946403503418</v>
      </c>
      <c r="F172" s="53">
        <v>0.12751519203186035</v>
      </c>
      <c r="G172" s="53">
        <v>0.105</v>
      </c>
      <c r="H172" s="54">
        <f t="shared" si="17"/>
        <v>0.11622888803482055</v>
      </c>
      <c r="I172" s="7">
        <v>12.197806398324246</v>
      </c>
      <c r="J172" s="18">
        <v>12.015146058698988</v>
      </c>
      <c r="K172" s="19">
        <v>13.1</v>
      </c>
      <c r="L172" s="20">
        <v>-0.11587853975116</v>
      </c>
      <c r="M172" s="52">
        <v>0.122</v>
      </c>
      <c r="N172" s="53">
        <v>0.11800000000000001</v>
      </c>
      <c r="O172" s="55"/>
      <c r="P172" s="57"/>
      <c r="Q172" s="58"/>
    </row>
    <row r="173" spans="1:17" ht="14.4" x14ac:dyDescent="0.3">
      <c r="B173" s="11">
        <f t="shared" si="14"/>
        <v>3</v>
      </c>
      <c r="C173" s="52">
        <v>0.11065070152282715</v>
      </c>
      <c r="D173" s="53">
        <v>0.12188723564147949</v>
      </c>
      <c r="E173" s="53">
        <v>0.1049946403503418</v>
      </c>
      <c r="F173" s="53">
        <v>0.12673428535461426</v>
      </c>
      <c r="G173" s="53">
        <v>0.105</v>
      </c>
      <c r="H173" s="54">
        <f t="shared" si="17"/>
        <v>0.11606671571731567</v>
      </c>
      <c r="I173" s="7">
        <v>12.383856725932318</v>
      </c>
      <c r="J173" s="18">
        <v>11.912762029161712</v>
      </c>
      <c r="K173" s="19">
        <v>12.6</v>
      </c>
      <c r="L173" s="20">
        <v>-0.19548529039072901</v>
      </c>
      <c r="M173" s="52">
        <v>0.124</v>
      </c>
      <c r="N173" s="53">
        <v>0.121</v>
      </c>
      <c r="O173" s="55"/>
      <c r="P173" s="57"/>
      <c r="Q173" s="58"/>
    </row>
    <row r="174" spans="1:17" ht="14.4" x14ac:dyDescent="0.3">
      <c r="B174" s="11">
        <f t="shared" si="14"/>
        <v>4</v>
      </c>
      <c r="C174" s="52">
        <v>0.11065975189208985</v>
      </c>
      <c r="D174" s="53">
        <v>0.12198184967041016</v>
      </c>
      <c r="E174" s="53">
        <v>0.1049946403503418</v>
      </c>
      <c r="F174" s="53">
        <v>0.12548052787780761</v>
      </c>
      <c r="G174" s="53">
        <v>0.105</v>
      </c>
      <c r="H174" s="54">
        <f t="shared" si="17"/>
        <v>0.11577919244766235</v>
      </c>
      <c r="I174" s="7">
        <v>12.254456578581056</v>
      </c>
      <c r="J174" s="18">
        <v>12.034057712576413</v>
      </c>
      <c r="K174" s="19">
        <v>13.1</v>
      </c>
      <c r="L174" s="20">
        <v>-0.109342723827862</v>
      </c>
      <c r="M174" s="52">
        <v>0.12300000000000001</v>
      </c>
      <c r="N174" s="53">
        <v>0.11900000000000001</v>
      </c>
      <c r="O174" s="55"/>
      <c r="P174" s="57"/>
      <c r="Q174" s="58"/>
    </row>
    <row r="175" spans="1:17" ht="14.4" x14ac:dyDescent="0.3">
      <c r="B175" s="11">
        <f t="shared" si="14"/>
        <v>5</v>
      </c>
      <c r="C175" s="52">
        <v>0.11213685035705566</v>
      </c>
      <c r="D175" s="53">
        <v>0.12207324981689453</v>
      </c>
      <c r="E175" s="53">
        <v>0.1049946403503418</v>
      </c>
      <c r="F175" s="53">
        <v>0.12378937721252442</v>
      </c>
      <c r="G175" s="53">
        <v>0.105</v>
      </c>
      <c r="H175" s="54">
        <f t="shared" si="17"/>
        <v>0.11574852943420411</v>
      </c>
      <c r="I175" s="7">
        <v>13.670248925414199</v>
      </c>
      <c r="J175" s="18">
        <v>13.93812384660923</v>
      </c>
      <c r="K175" s="19">
        <v>14.8</v>
      </c>
      <c r="L175" s="20">
        <v>-4.46866543490212E-2</v>
      </c>
      <c r="M175" s="52">
        <v>0.13699999999999998</v>
      </c>
      <c r="N175" s="53">
        <v>0.12300000000000001</v>
      </c>
      <c r="O175" s="55"/>
      <c r="P175" s="57"/>
      <c r="Q175" s="58"/>
    </row>
    <row r="176" spans="1:17" ht="14.4" x14ac:dyDescent="0.3">
      <c r="B176" s="11">
        <f t="shared" si="14"/>
        <v>6</v>
      </c>
      <c r="C176" s="52">
        <v>0.11367897987365723</v>
      </c>
      <c r="D176" s="53">
        <v>0.12216078758239746</v>
      </c>
      <c r="E176" s="53">
        <v>0.1049946403503418</v>
      </c>
      <c r="F176" s="53">
        <v>0.12171231269836426</v>
      </c>
      <c r="G176" s="53">
        <v>0.105</v>
      </c>
      <c r="H176" s="54">
        <f t="shared" si="17"/>
        <v>0.11563668012619017</v>
      </c>
      <c r="I176" s="7">
        <v>14.648771491104256</v>
      </c>
      <c r="J176" s="18">
        <v>15.072713063110385</v>
      </c>
      <c r="K176" s="19">
        <v>15.8</v>
      </c>
      <c r="L176" s="20">
        <v>1.61453439822993E-2</v>
      </c>
      <c r="M176" s="52">
        <v>0.14599999999999999</v>
      </c>
      <c r="N176" s="53">
        <v>0.13600000000000001</v>
      </c>
      <c r="O176" s="55"/>
      <c r="P176" s="57"/>
      <c r="Q176" s="58"/>
    </row>
    <row r="177" spans="1:17" ht="14.4" x14ac:dyDescent="0.3">
      <c r="B177" s="11">
        <f t="shared" si="14"/>
        <v>7</v>
      </c>
      <c r="C177" s="52">
        <v>0.12769527435302735</v>
      </c>
      <c r="D177" s="53">
        <v>0.12224370002746582</v>
      </c>
      <c r="E177" s="53">
        <v>0.12045907974243164</v>
      </c>
      <c r="F177" s="53">
        <v>0.13431801795959472</v>
      </c>
      <c r="G177" s="53">
        <v>0.12</v>
      </c>
      <c r="H177" s="54">
        <f t="shared" si="17"/>
        <v>0.12617901802062989</v>
      </c>
      <c r="I177" s="7">
        <v>14.946672880392313</v>
      </c>
      <c r="J177" s="18">
        <v>15.429773029629203</v>
      </c>
      <c r="K177" s="19">
        <v>17.899999999999999</v>
      </c>
      <c r="L177" s="20">
        <v>9.4901087218731597E-2</v>
      </c>
      <c r="M177" s="52">
        <v>0.14899999999999999</v>
      </c>
      <c r="N177" s="53">
        <v>0.14099999999999999</v>
      </c>
      <c r="O177" s="55"/>
      <c r="P177" s="57"/>
      <c r="Q177" s="58"/>
    </row>
    <row r="178" spans="1:17" ht="14.4" x14ac:dyDescent="0.3">
      <c r="B178" s="11">
        <f t="shared" si="14"/>
        <v>8</v>
      </c>
      <c r="C178" s="52">
        <v>0.12541261672973633</v>
      </c>
      <c r="D178" s="53">
        <v>0.12232108116149902</v>
      </c>
      <c r="E178" s="53">
        <v>0.1199946403503418</v>
      </c>
      <c r="F178" s="53">
        <v>0.13169246673583984</v>
      </c>
      <c r="G178" s="53">
        <v>0.12</v>
      </c>
      <c r="H178" s="54">
        <f t="shared" si="17"/>
        <v>0.12485520124435424</v>
      </c>
      <c r="I178" s="7">
        <v>13.667896761927565</v>
      </c>
      <c r="J178" s="18">
        <v>13.557979241616437</v>
      </c>
      <c r="K178" s="19">
        <v>15.6</v>
      </c>
      <c r="L178" s="20">
        <v>-6.4569274884422906E-2</v>
      </c>
      <c r="M178" s="52">
        <v>0.13699999999999998</v>
      </c>
      <c r="N178" s="53">
        <v>0.122</v>
      </c>
      <c r="O178" s="55"/>
      <c r="P178" s="57"/>
      <c r="Q178" s="58"/>
    </row>
    <row r="179" spans="1:17" ht="14.4" x14ac:dyDescent="0.3">
      <c r="B179" s="11">
        <f t="shared" si="14"/>
        <v>9</v>
      </c>
      <c r="C179" s="52">
        <v>0.12157205581665038</v>
      </c>
      <c r="D179" s="53">
        <v>0.12239201545715332</v>
      </c>
      <c r="E179" s="53">
        <v>0.1199946403503418</v>
      </c>
      <c r="F179" s="53">
        <v>0.12893747329711913</v>
      </c>
      <c r="G179" s="53">
        <v>0.12</v>
      </c>
      <c r="H179" s="54">
        <f t="shared" si="17"/>
        <v>0.12322404623031616</v>
      </c>
      <c r="I179" s="7">
        <v>13.030178178938954</v>
      </c>
      <c r="J179" s="18">
        <v>13.630058804745815</v>
      </c>
      <c r="K179" s="19">
        <v>15.5</v>
      </c>
      <c r="L179" s="20">
        <v>-7.6288060799713397E-2</v>
      </c>
      <c r="M179" s="52">
        <v>0.13</v>
      </c>
      <c r="N179" s="53">
        <v>0.115</v>
      </c>
      <c r="O179" s="55"/>
      <c r="P179" s="57"/>
      <c r="Q179" s="58"/>
    </row>
    <row r="180" spans="1:17" ht="14.4" x14ac:dyDescent="0.3">
      <c r="B180" s="11">
        <f t="shared" si="14"/>
        <v>10</v>
      </c>
      <c r="C180" s="52">
        <v>0.11997549057006836</v>
      </c>
      <c r="D180" s="53">
        <v>0.1224555492401123</v>
      </c>
      <c r="E180" s="53">
        <v>0.1199946403503418</v>
      </c>
      <c r="F180" s="53">
        <v>0.12616752624511718</v>
      </c>
      <c r="G180" s="53">
        <v>0.12</v>
      </c>
      <c r="H180" s="54">
        <f t="shared" si="17"/>
        <v>0.12214830160140991</v>
      </c>
      <c r="I180" s="7">
        <v>12.133947088721726</v>
      </c>
      <c r="J180" s="18">
        <v>12.728720871441922</v>
      </c>
      <c r="K180" s="19">
        <v>14.1</v>
      </c>
      <c r="L180" s="20">
        <v>-0.142422836743476</v>
      </c>
      <c r="M180" s="52">
        <v>0.121</v>
      </c>
      <c r="N180" s="53">
        <v>0.11</v>
      </c>
      <c r="O180" s="55"/>
      <c r="P180" s="57"/>
      <c r="Q180" s="58"/>
    </row>
    <row r="181" spans="1:17" ht="14.4" x14ac:dyDescent="0.3">
      <c r="B181" s="11">
        <f t="shared" si="14"/>
        <v>11</v>
      </c>
      <c r="C181" s="52">
        <v>0.1181716537475586</v>
      </c>
      <c r="D181" s="53">
        <v>0.1225107479095459</v>
      </c>
      <c r="E181" s="53">
        <v>0.1199946403503418</v>
      </c>
      <c r="F181" s="53">
        <v>0.1235047721862793</v>
      </c>
      <c r="G181" s="53">
        <v>0.12</v>
      </c>
      <c r="H181" s="54">
        <f t="shared" si="17"/>
        <v>0.12104545354843141</v>
      </c>
      <c r="I181" s="7">
        <v>11.487550261887606</v>
      </c>
      <c r="J181" s="18">
        <v>11.90103947459383</v>
      </c>
      <c r="K181" s="19">
        <v>13.6</v>
      </c>
      <c r="L181" s="20">
        <v>-0.24489201726291401</v>
      </c>
      <c r="M181" s="52">
        <v>0.115</v>
      </c>
      <c r="N181" s="53">
        <v>0.113</v>
      </c>
      <c r="O181" s="55"/>
      <c r="P181" s="57"/>
      <c r="Q181" s="58"/>
    </row>
    <row r="182" spans="1:17" ht="14.4" x14ac:dyDescent="0.3">
      <c r="B182" s="11">
        <f t="shared" si="14"/>
        <v>12</v>
      </c>
      <c r="C182" s="52">
        <v>0.11501811027526855</v>
      </c>
      <c r="D182" s="53">
        <v>0.12255661010742187</v>
      </c>
      <c r="E182" s="53">
        <v>0.1199946403503418</v>
      </c>
      <c r="F182" s="53">
        <v>0.12107234001159668</v>
      </c>
      <c r="G182" s="53">
        <v>0.12</v>
      </c>
      <c r="H182" s="54">
        <f t="shared" si="17"/>
        <v>0.11966042518615723</v>
      </c>
      <c r="I182" s="7">
        <v>10.974663438262141</v>
      </c>
      <c r="J182" s="18">
        <v>10.682574460234306</v>
      </c>
      <c r="K182" s="19">
        <v>12.6</v>
      </c>
      <c r="L182" s="20">
        <v>-0.26934271647098301</v>
      </c>
      <c r="M182" s="52">
        <v>0.11</v>
      </c>
      <c r="N182" s="53">
        <v>0.10400000000000001</v>
      </c>
      <c r="O182" s="55"/>
      <c r="P182" s="57"/>
      <c r="Q182" s="58"/>
    </row>
    <row r="183" spans="1:17" ht="14.4" x14ac:dyDescent="0.3">
      <c r="A183" s="11">
        <f t="shared" ref="A183" si="19">A171+1</f>
        <v>2015</v>
      </c>
      <c r="B183" s="11">
        <f t="shared" si="14"/>
        <v>1</v>
      </c>
      <c r="C183" s="52">
        <v>0.12645514488220214</v>
      </c>
      <c r="D183" s="53">
        <v>0.1225921630859375</v>
      </c>
      <c r="E183" s="53">
        <v>0.13030426979064941</v>
      </c>
      <c r="F183" s="53">
        <v>0.12898627281188965</v>
      </c>
      <c r="G183" s="53">
        <v>0.13</v>
      </c>
      <c r="H183" s="54">
        <f t="shared" si="17"/>
        <v>0.12708446264266968</v>
      </c>
      <c r="I183" s="7">
        <v>9.8000140636077759</v>
      </c>
      <c r="J183" s="18">
        <v>9.3408586606546322</v>
      </c>
      <c r="K183" s="19">
        <v>12.3</v>
      </c>
      <c r="L183" s="20">
        <v>-0.28228724247141301</v>
      </c>
      <c r="M183" s="52">
        <v>9.8000000000000004E-2</v>
      </c>
      <c r="N183" s="53">
        <v>9.4E-2</v>
      </c>
      <c r="O183" s="55"/>
      <c r="P183" s="57"/>
      <c r="Q183" s="58"/>
    </row>
    <row r="184" spans="1:17" ht="14.4" x14ac:dyDescent="0.3">
      <c r="B184" s="11">
        <f t="shared" si="14"/>
        <v>2</v>
      </c>
      <c r="C184" s="52">
        <v>0.12696567535400391</v>
      </c>
      <c r="D184" s="53">
        <v>0.12261637687683105</v>
      </c>
      <c r="E184" s="53">
        <v>0.12999464035034181</v>
      </c>
      <c r="F184" s="53">
        <v>0.12734694480895997</v>
      </c>
      <c r="G184" s="53">
        <v>0.13</v>
      </c>
      <c r="H184" s="54">
        <f t="shared" si="17"/>
        <v>0.12673090934753417</v>
      </c>
      <c r="I184" s="7">
        <v>9.2793971203718399</v>
      </c>
      <c r="J184" s="18">
        <v>8.4605165930372692</v>
      </c>
      <c r="K184" s="19">
        <v>12</v>
      </c>
      <c r="L184" s="20">
        <v>-0.23883047132336499</v>
      </c>
      <c r="M184" s="52">
        <v>9.3000000000000013E-2</v>
      </c>
      <c r="N184" s="53">
        <v>9.6000000000000002E-2</v>
      </c>
      <c r="O184" s="55"/>
      <c r="P184" s="57"/>
      <c r="Q184" s="58"/>
    </row>
    <row r="185" spans="1:17" ht="14.4" x14ac:dyDescent="0.3">
      <c r="B185" s="11">
        <f t="shared" si="14"/>
        <v>3</v>
      </c>
      <c r="C185" s="52">
        <v>0.12814013481140138</v>
      </c>
      <c r="D185" s="53">
        <v>0.1226283073425293</v>
      </c>
      <c r="E185" s="53">
        <v>0.12999464035034181</v>
      </c>
      <c r="F185" s="53">
        <v>0.12623039245605469</v>
      </c>
      <c r="G185" s="53">
        <v>0.13</v>
      </c>
      <c r="H185" s="54">
        <f t="shared" si="17"/>
        <v>0.1267483687400818</v>
      </c>
      <c r="I185" s="7">
        <v>9.2549352921328136</v>
      </c>
      <c r="J185" s="18">
        <v>8.8189615878457204</v>
      </c>
      <c r="K185" s="19">
        <v>11.9</v>
      </c>
      <c r="L185" s="20">
        <v>-0.37287108677354902</v>
      </c>
      <c r="M185" s="52">
        <v>9.3000000000000013E-2</v>
      </c>
      <c r="N185" s="53">
        <v>9.1999999999999998E-2</v>
      </c>
      <c r="O185" s="55"/>
      <c r="P185" s="57"/>
      <c r="Q185" s="58"/>
    </row>
    <row r="186" spans="1:17" ht="14.4" x14ac:dyDescent="0.3">
      <c r="B186" s="11">
        <f t="shared" si="14"/>
        <v>4</v>
      </c>
      <c r="C186" s="52">
        <v>0.12961039543151856</v>
      </c>
      <c r="D186" s="53">
        <v>0.12262703895568848</v>
      </c>
      <c r="E186" s="53">
        <v>0.12999464035034181</v>
      </c>
      <c r="F186" s="53">
        <v>0.12568069458007813</v>
      </c>
      <c r="G186" s="53">
        <v>0.13</v>
      </c>
      <c r="H186" s="54">
        <f t="shared" si="17"/>
        <v>0.12697819232940674</v>
      </c>
      <c r="I186" s="7">
        <v>9.1585814958661018</v>
      </c>
      <c r="J186" s="18">
        <v>8.777588946669141</v>
      </c>
      <c r="K186" s="19">
        <v>11</v>
      </c>
      <c r="L186" s="20">
        <v>-0.26087847919709001</v>
      </c>
      <c r="M186" s="52">
        <v>9.1999999999999998E-2</v>
      </c>
      <c r="N186" s="53">
        <v>9.0999999999999998E-2</v>
      </c>
      <c r="O186" s="55"/>
      <c r="P186" s="57"/>
      <c r="Q186" s="58"/>
    </row>
    <row r="187" spans="1:17" ht="14.4" x14ac:dyDescent="0.3">
      <c r="B187" s="11">
        <f t="shared" si="14"/>
        <v>5</v>
      </c>
      <c r="C187" s="52">
        <v>0.12854276657104491</v>
      </c>
      <c r="D187" s="53">
        <v>0.12261173248291016</v>
      </c>
      <c r="E187" s="53">
        <v>0.12999464035034181</v>
      </c>
      <c r="F187" s="53">
        <v>0.12570411682128907</v>
      </c>
      <c r="G187" s="53">
        <v>0.13</v>
      </c>
      <c r="H187" s="54">
        <f t="shared" si="17"/>
        <v>0.12671331405639646</v>
      </c>
      <c r="I187" s="7">
        <v>7.9711587130033195</v>
      </c>
      <c r="J187" s="18">
        <v>7.5336130904910732</v>
      </c>
      <c r="K187" s="19">
        <v>10.199999999999999</v>
      </c>
      <c r="L187" s="20">
        <v>-0.153336454867357</v>
      </c>
      <c r="M187" s="52">
        <v>0.08</v>
      </c>
      <c r="N187" s="53">
        <v>8.199999999999999E-2</v>
      </c>
      <c r="O187" s="55"/>
      <c r="P187" s="57"/>
      <c r="Q187" s="58"/>
    </row>
    <row r="188" spans="1:17" ht="14.4" x14ac:dyDescent="0.3">
      <c r="B188" s="11">
        <f t="shared" si="14"/>
        <v>6</v>
      </c>
      <c r="C188" s="52">
        <v>0.12635817527770996</v>
      </c>
      <c r="D188" s="53">
        <v>0.12258160591125489</v>
      </c>
      <c r="E188" s="53">
        <v>0.12999464035034181</v>
      </c>
      <c r="F188" s="53">
        <v>0.12626578330993651</v>
      </c>
      <c r="G188" s="53">
        <v>0.13</v>
      </c>
      <c r="H188" s="54">
        <f t="shared" si="17"/>
        <v>0.1263000512123108</v>
      </c>
      <c r="I188" s="7">
        <v>7.344322420685387</v>
      </c>
      <c r="J188" s="18">
        <v>7.1460346786134323</v>
      </c>
      <c r="K188" s="19">
        <v>9.6</v>
      </c>
      <c r="L188" s="20">
        <v>-8.5713485205456005E-2</v>
      </c>
      <c r="M188" s="52">
        <v>7.2999999999999995E-2</v>
      </c>
      <c r="N188" s="53">
        <v>7.5999999999999998E-2</v>
      </c>
      <c r="O188" s="55"/>
      <c r="P188" s="57"/>
      <c r="Q188" s="58"/>
    </row>
    <row r="189" spans="1:17" ht="14.4" x14ac:dyDescent="0.3">
      <c r="B189" s="11">
        <f t="shared" si="14"/>
        <v>7</v>
      </c>
      <c r="C189" s="52">
        <v>0.12685871124267578</v>
      </c>
      <c r="D189" s="53">
        <v>0.12253592491149902</v>
      </c>
      <c r="E189" s="53">
        <v>0.12999464035034181</v>
      </c>
      <c r="F189" s="53">
        <v>0.1272894859313965</v>
      </c>
      <c r="G189" s="53">
        <v>0.13</v>
      </c>
      <c r="H189" s="54">
        <f t="shared" si="17"/>
        <v>0.12666969060897826</v>
      </c>
      <c r="I189" s="7">
        <v>6.8943040467628549</v>
      </c>
      <c r="J189" s="18">
        <v>6.6349738893570276</v>
      </c>
      <c r="K189" s="19">
        <v>7.3</v>
      </c>
      <c r="L189" s="20">
        <v>-0.13190566691776601</v>
      </c>
      <c r="M189" s="52">
        <v>6.9000000000000006E-2</v>
      </c>
      <c r="N189" s="53">
        <v>7.2000000000000008E-2</v>
      </c>
      <c r="O189" s="55"/>
      <c r="P189" s="57"/>
      <c r="Q189" s="58"/>
    </row>
    <row r="190" spans="1:17" ht="14.4" x14ac:dyDescent="0.3">
      <c r="B190" s="11">
        <f t="shared" si="14"/>
        <v>8</v>
      </c>
      <c r="C190" s="52">
        <v>0.1237106704711914</v>
      </c>
      <c r="D190" s="53">
        <v>0.1224740219116211</v>
      </c>
      <c r="E190" s="53">
        <v>0.12999464035034181</v>
      </c>
      <c r="F190" s="53">
        <v>0.1286609649658203</v>
      </c>
      <c r="G190" s="53">
        <v>0.13</v>
      </c>
      <c r="H190" s="54">
        <f t="shared" si="17"/>
        <v>0.12621007442474363</v>
      </c>
      <c r="I190" s="7">
        <v>6.5628083139121429</v>
      </c>
      <c r="J190" s="18">
        <v>5.9374275324577184</v>
      </c>
      <c r="K190" s="19">
        <v>7.2</v>
      </c>
      <c r="L190" s="20">
        <v>-0.247442911737456</v>
      </c>
      <c r="M190" s="52">
        <v>6.6000000000000003E-2</v>
      </c>
      <c r="N190" s="53">
        <v>0.06</v>
      </c>
      <c r="O190" s="55"/>
      <c r="P190" s="57"/>
      <c r="Q190" s="58"/>
    </row>
    <row r="191" spans="1:17" ht="14.4" x14ac:dyDescent="0.3">
      <c r="B191" s="11">
        <f t="shared" si="14"/>
        <v>9</v>
      </c>
      <c r="C191" s="52">
        <v>0.12265894889831543</v>
      </c>
      <c r="D191" s="53">
        <v>0.12239526748657227</v>
      </c>
      <c r="E191" s="53">
        <v>0.12999464035034181</v>
      </c>
      <c r="F191" s="53">
        <v>0.1302345085144043</v>
      </c>
      <c r="G191" s="53">
        <v>0.13</v>
      </c>
      <c r="H191" s="54">
        <f t="shared" si="17"/>
        <v>0.12632084131240845</v>
      </c>
      <c r="I191" s="7">
        <v>4.9309823887764139</v>
      </c>
      <c r="J191" s="18">
        <v>3.9411788659872258</v>
      </c>
      <c r="K191" s="19">
        <v>6.1</v>
      </c>
      <c r="L191" s="20">
        <v>-0.21654899891038501</v>
      </c>
      <c r="M191" s="52">
        <v>4.9000000000000002E-2</v>
      </c>
      <c r="N191" s="53">
        <v>5.5999999999999994E-2</v>
      </c>
      <c r="O191" s="55"/>
      <c r="P191" s="57"/>
      <c r="Q191" s="58"/>
    </row>
    <row r="192" spans="1:17" ht="14.4" x14ac:dyDescent="0.3">
      <c r="B192" s="11">
        <f t="shared" si="14"/>
        <v>10</v>
      </c>
      <c r="C192" s="52">
        <v>0.12402300834655762</v>
      </c>
      <c r="D192" s="53">
        <v>0.12229912757873534</v>
      </c>
      <c r="E192" s="53">
        <v>0.12999464035034181</v>
      </c>
      <c r="F192" s="53">
        <v>0.13184277534484865</v>
      </c>
      <c r="G192" s="53">
        <v>0.13</v>
      </c>
      <c r="H192" s="54">
        <f t="shared" si="17"/>
        <v>0.12703988790512086</v>
      </c>
      <c r="I192" s="7">
        <v>3.4465256883227653</v>
      </c>
      <c r="J192" s="18">
        <v>1.9211998725957926</v>
      </c>
      <c r="K192" s="19">
        <v>4.8</v>
      </c>
      <c r="L192" s="20">
        <v>-0.13050219849166</v>
      </c>
      <c r="M192" s="52">
        <v>3.4000000000000002E-2</v>
      </c>
      <c r="N192" s="53">
        <v>4.2999999999999997E-2</v>
      </c>
      <c r="O192" s="55"/>
      <c r="P192" s="57"/>
      <c r="Q192" s="58"/>
    </row>
    <row r="193" spans="1:17" ht="14.4" x14ac:dyDescent="0.3">
      <c r="B193" s="11">
        <f t="shared" si="14"/>
        <v>11</v>
      </c>
      <c r="C193" s="52">
        <v>0.12269463539123535</v>
      </c>
      <c r="D193" s="53">
        <v>0.12218507766723632</v>
      </c>
      <c r="E193" s="53">
        <v>0.12999464035034181</v>
      </c>
      <c r="F193" s="53">
        <v>0.13330895423889161</v>
      </c>
      <c r="G193" s="53">
        <v>0.13</v>
      </c>
      <c r="H193" s="54">
        <f t="shared" si="17"/>
        <v>0.12704582691192629</v>
      </c>
      <c r="I193" s="7">
        <v>2.9492658994636258</v>
      </c>
      <c r="J193" s="18">
        <v>1.8992082680405957</v>
      </c>
      <c r="K193" s="19">
        <v>5.3</v>
      </c>
      <c r="L193" s="20">
        <v>-0.205962208559859</v>
      </c>
      <c r="M193" s="52">
        <v>2.8999999999999998E-2</v>
      </c>
      <c r="N193" s="53">
        <v>3.7000000000000005E-2</v>
      </c>
      <c r="O193" s="55"/>
      <c r="P193" s="57"/>
      <c r="Q193" s="58"/>
    </row>
    <row r="194" spans="1:17" ht="14.4" x14ac:dyDescent="0.3">
      <c r="B194" s="11">
        <f t="shared" si="14"/>
        <v>12</v>
      </c>
      <c r="C194" s="52">
        <v>0.12178919792175293</v>
      </c>
      <c r="D194" s="53">
        <v>0.12205269813537598</v>
      </c>
      <c r="E194" s="53">
        <v>0.12999464035034181</v>
      </c>
      <c r="F194" s="53">
        <v>0.13446048736572266</v>
      </c>
      <c r="G194" s="53">
        <v>0.13</v>
      </c>
      <c r="H194" s="54">
        <f t="shared" si="17"/>
        <v>0.12707425594329835</v>
      </c>
      <c r="I194" s="7">
        <v>1.8927465927795026</v>
      </c>
      <c r="J194" s="18">
        <v>1.1292613566066194</v>
      </c>
      <c r="K194" s="19">
        <v>4.8</v>
      </c>
      <c r="L194" s="20">
        <v>-0.193307773496077</v>
      </c>
      <c r="M194" s="52">
        <v>1.9E-2</v>
      </c>
      <c r="N194" s="53">
        <v>2.7999999999999997E-2</v>
      </c>
      <c r="O194" s="55"/>
      <c r="P194" s="57"/>
      <c r="Q194" s="58"/>
    </row>
    <row r="195" spans="1:17" ht="14.4" x14ac:dyDescent="0.3">
      <c r="A195" s="11">
        <f t="shared" ref="A195" si="20">A183+1</f>
        <v>2016</v>
      </c>
      <c r="B195" s="11">
        <f t="shared" si="14"/>
        <v>1</v>
      </c>
      <c r="C195" s="52">
        <v>0.11067319869995117</v>
      </c>
      <c r="D195" s="53">
        <v>0.12190159797668457</v>
      </c>
      <c r="E195" s="53">
        <v>0.11968501091003418</v>
      </c>
      <c r="F195" s="53">
        <v>0.12514312744140624</v>
      </c>
      <c r="G195" s="53">
        <v>0.12</v>
      </c>
      <c r="H195" s="54">
        <f t="shared" si="17"/>
        <v>0.11935073375701905</v>
      </c>
      <c r="I195" s="7"/>
      <c r="J195" s="18">
        <v>1.0437075087505718</v>
      </c>
      <c r="K195" s="19">
        <v>4</v>
      </c>
      <c r="L195" s="20">
        <v>-0.202688060578921</v>
      </c>
      <c r="M195" s="52">
        <v>6.0000000000000001E-3</v>
      </c>
      <c r="N195" s="53">
        <v>1.9E-2</v>
      </c>
      <c r="O195" s="55"/>
      <c r="P195" s="57"/>
      <c r="Q195" s="58"/>
    </row>
    <row r="196" spans="1:17" ht="14.4" x14ac:dyDescent="0.3">
      <c r="B196" s="11">
        <f t="shared" si="14"/>
        <v>2</v>
      </c>
      <c r="C196" s="52">
        <v>0.11168197631835937</v>
      </c>
      <c r="D196" s="53">
        <v>0.12173147201538086</v>
      </c>
      <c r="E196" s="53">
        <v>0.1199946403503418</v>
      </c>
      <c r="F196" s="53">
        <v>0.1252342414855957</v>
      </c>
      <c r="G196" s="53">
        <v>0.12</v>
      </c>
      <c r="H196" s="54">
        <f t="shared" si="17"/>
        <v>0.11966058254241943</v>
      </c>
      <c r="I196" s="7"/>
      <c r="J196" s="18">
        <v>1.6276443703437593</v>
      </c>
      <c r="K196" s="19">
        <v>3.5333019887087005</v>
      </c>
      <c r="L196" s="20">
        <v>-0.186186512845401</v>
      </c>
      <c r="M196" s="52">
        <v>8.0000000000000002E-3</v>
      </c>
      <c r="N196" s="53">
        <v>1.3000000000000001E-2</v>
      </c>
      <c r="O196" s="55"/>
      <c r="P196" s="57"/>
      <c r="Q196" s="58"/>
    </row>
    <row r="197" spans="1:17" ht="14.4" x14ac:dyDescent="0.3">
      <c r="B197" s="11">
        <f t="shared" si="14"/>
        <v>3</v>
      </c>
      <c r="C197" s="52">
        <v>0.11422384262084961</v>
      </c>
      <c r="D197" s="53">
        <v>0.12154196739196778</v>
      </c>
      <c r="E197" s="53">
        <v>0.1199946403503418</v>
      </c>
      <c r="F197" s="53">
        <v>0.12465397834777832</v>
      </c>
      <c r="G197" s="53">
        <v>0.12</v>
      </c>
      <c r="H197" s="54">
        <f t="shared" si="17"/>
        <v>0.12010360717773437</v>
      </c>
      <c r="I197" s="7"/>
      <c r="J197" s="18">
        <v>1.1417602665081148</v>
      </c>
      <c r="K197" s="19">
        <v>3.0678414282266147</v>
      </c>
      <c r="L197" s="20">
        <v>-2.1065397333684899E-2</v>
      </c>
      <c r="M197" s="52">
        <v>8.0000000000000002E-3</v>
      </c>
      <c r="N197" s="53">
        <v>1.1000000000000001E-2</v>
      </c>
      <c r="O197" s="55"/>
      <c r="P197" s="57"/>
      <c r="Q197" s="58"/>
    </row>
    <row r="198" spans="1:17" ht="14.4" x14ac:dyDescent="0.3">
      <c r="B198" s="11">
        <f t="shared" si="14"/>
        <v>4</v>
      </c>
      <c r="C198" s="52">
        <v>0.11363134384155274</v>
      </c>
      <c r="D198" s="53">
        <v>0.1213327693939209</v>
      </c>
      <c r="E198" s="53">
        <v>0.1199946403503418</v>
      </c>
      <c r="F198" s="53">
        <v>0.12337350845336914</v>
      </c>
      <c r="G198" s="53">
        <v>0.12</v>
      </c>
      <c r="H198" s="54">
        <f t="shared" si="17"/>
        <v>0.11958306550979614</v>
      </c>
      <c r="I198" s="7"/>
      <c r="J198" s="18">
        <v>1.8522933832976491</v>
      </c>
      <c r="K198" s="19">
        <v>3.2454711576403241</v>
      </c>
      <c r="L198" s="20">
        <v>1.6328590490136699E-2</v>
      </c>
      <c r="M198" s="52">
        <v>1.3000000000000001E-2</v>
      </c>
      <c r="N198" s="53">
        <v>1.1000000000000001E-2</v>
      </c>
      <c r="O198" s="55"/>
      <c r="P198" s="57"/>
      <c r="Q198" s="58"/>
    </row>
    <row r="199" spans="1:17" ht="14.4" x14ac:dyDescent="0.3">
      <c r="B199" s="11">
        <f t="shared" si="14"/>
        <v>5</v>
      </c>
      <c r="C199" s="52">
        <v>9.871423721313477E-2</v>
      </c>
      <c r="D199" s="53">
        <v>0.12110348701477051</v>
      </c>
      <c r="E199" s="53">
        <v>0.10453020095825195</v>
      </c>
      <c r="F199" s="53">
        <v>0.10641920089721679</v>
      </c>
      <c r="G199" s="53">
        <v>0.105</v>
      </c>
      <c r="H199" s="54">
        <f t="shared" si="17"/>
        <v>0.10769178152084351</v>
      </c>
      <c r="I199" s="7"/>
      <c r="J199" s="18">
        <v>1.8435882505023784</v>
      </c>
      <c r="K199" s="19">
        <v>3.1071630341899237</v>
      </c>
      <c r="L199" s="20">
        <v>3.0974794890943199E-3</v>
      </c>
      <c r="M199" s="52">
        <v>1.3000000000000001E-2</v>
      </c>
      <c r="N199" s="53">
        <v>1.8000000000000002E-2</v>
      </c>
      <c r="O199" s="55"/>
      <c r="P199" s="57"/>
      <c r="Q199" s="58"/>
    </row>
    <row r="200" spans="1:17" ht="14.4" x14ac:dyDescent="0.3">
      <c r="B200" s="11">
        <f t="shared" si="14"/>
        <v>6</v>
      </c>
      <c r="C200" s="52">
        <v>9.783853530883789E-2</v>
      </c>
      <c r="D200" s="53">
        <v>0.12085377693176269</v>
      </c>
      <c r="E200" s="53">
        <v>0.1049946403503418</v>
      </c>
      <c r="F200" s="53">
        <v>0.10387250900268555</v>
      </c>
      <c r="G200" s="53">
        <v>0.105</v>
      </c>
      <c r="H200" s="54">
        <f t="shared" si="17"/>
        <v>0.10688986539840697</v>
      </c>
      <c r="I200" s="7"/>
      <c r="J200" s="18">
        <v>1.1902353586088736</v>
      </c>
      <c r="K200" s="19">
        <v>3</v>
      </c>
      <c r="L200" s="20">
        <v>-1.7693150901754301E-2</v>
      </c>
      <c r="M200" s="52">
        <v>1.2E-2</v>
      </c>
      <c r="N200" s="53">
        <v>1.8000000000000002E-2</v>
      </c>
      <c r="O200" s="55"/>
      <c r="P200" s="57"/>
      <c r="Q200" s="58"/>
    </row>
    <row r="201" spans="1:17" ht="14.4" x14ac:dyDescent="0.3">
      <c r="B201" s="11">
        <f t="shared" si="14"/>
        <v>7</v>
      </c>
      <c r="C201" s="52">
        <v>9.9130830764770514E-2</v>
      </c>
      <c r="D201" s="53">
        <v>0.12058314323425293</v>
      </c>
      <c r="E201" s="53">
        <v>0.1049946403503418</v>
      </c>
      <c r="F201" s="53">
        <v>0.10086532592773438</v>
      </c>
      <c r="G201" s="53">
        <v>0.105</v>
      </c>
      <c r="H201" s="54">
        <f t="shared" si="17"/>
        <v>0.1063934850692749</v>
      </c>
      <c r="I201" s="7"/>
      <c r="J201" s="18">
        <v>6.0182388571774936E-2</v>
      </c>
      <c r="K201" s="19">
        <v>2.8601807801490793</v>
      </c>
      <c r="L201" s="20">
        <v>2.8920233879426101E-2</v>
      </c>
      <c r="M201" s="52">
        <v>1.4999999999999999E-2</v>
      </c>
      <c r="N201" s="53">
        <v>1.7000000000000001E-2</v>
      </c>
      <c r="O201" s="55"/>
      <c r="P201" s="57"/>
      <c r="Q201" s="58"/>
    </row>
    <row r="202" spans="1:17" ht="14.4" x14ac:dyDescent="0.3">
      <c r="B202" s="11">
        <f t="shared" si="14"/>
        <v>8</v>
      </c>
      <c r="C202" s="52">
        <v>0.14904990196228027</v>
      </c>
      <c r="D202" s="53">
        <v>0.12029096603393555</v>
      </c>
      <c r="E202" s="53">
        <v>0.1513879680633545</v>
      </c>
      <c r="F202" s="53">
        <v>0.1425710678100586</v>
      </c>
      <c r="G202" s="53">
        <v>0.15</v>
      </c>
      <c r="H202" s="54">
        <f t="shared" si="17"/>
        <v>0.14082497596740723</v>
      </c>
      <c r="I202" s="7"/>
      <c r="J202" s="18">
        <v>-0.63760442493017422</v>
      </c>
      <c r="K202" s="19">
        <v>0.79985911970089774</v>
      </c>
      <c r="L202" s="20">
        <v>0.18528377767030799</v>
      </c>
      <c r="M202" s="52">
        <v>-1E-3</v>
      </c>
      <c r="N202" s="53">
        <v>1.1000000000000001E-2</v>
      </c>
      <c r="O202" s="55"/>
      <c r="P202" s="57"/>
      <c r="Q202" s="58"/>
    </row>
    <row r="203" spans="1:17" ht="14.4" x14ac:dyDescent="0.3">
      <c r="B203" s="11">
        <f t="shared" si="14"/>
        <v>9</v>
      </c>
      <c r="C203" s="52">
        <v>0.15095751762390136</v>
      </c>
      <c r="D203" s="53">
        <v>0.11997651100158692</v>
      </c>
      <c r="E203" s="53">
        <v>0.1499946403503418</v>
      </c>
      <c r="F203" s="53">
        <v>0.13919231414794922</v>
      </c>
      <c r="G203" s="53">
        <v>0.15</v>
      </c>
      <c r="H203" s="54">
        <f t="shared" si="17"/>
        <v>0.14003024578094481</v>
      </c>
      <c r="I203" s="7"/>
      <c r="J203" s="18">
        <v>-0.67445978887916169</v>
      </c>
      <c r="K203" s="19">
        <v>0.79985911970089774</v>
      </c>
      <c r="L203" s="20">
        <v>0.143815083413662</v>
      </c>
      <c r="M203" s="52">
        <v>0</v>
      </c>
      <c r="N203" s="53">
        <v>6.9999999999999993E-3</v>
      </c>
      <c r="O203" s="55"/>
      <c r="P203" s="57"/>
      <c r="Q203" s="58"/>
    </row>
    <row r="204" spans="1:17" ht="14.4" x14ac:dyDescent="0.3">
      <c r="B204" s="11">
        <f t="shared" si="14"/>
        <v>10</v>
      </c>
      <c r="C204" s="52">
        <v>0.15248797416687013</v>
      </c>
      <c r="D204" s="53">
        <v>0.11963927268981933</v>
      </c>
      <c r="E204" s="53">
        <v>0.1499946403503418</v>
      </c>
      <c r="F204" s="53">
        <v>0.13594572067260743</v>
      </c>
      <c r="G204" s="53">
        <v>0.15</v>
      </c>
      <c r="H204" s="54">
        <f t="shared" si="17"/>
        <v>0.13951690196990968</v>
      </c>
      <c r="I204" s="7"/>
      <c r="J204" s="18">
        <v>-0.75728497277076201</v>
      </c>
      <c r="K204" s="19">
        <v>0.37154282590343257</v>
      </c>
      <c r="L204" s="20">
        <v>0.30410812617906302</v>
      </c>
      <c r="M204" s="52">
        <v>-2E-3</v>
      </c>
      <c r="N204" s="53">
        <v>0.01</v>
      </c>
      <c r="O204" s="55"/>
      <c r="P204" s="57"/>
      <c r="Q204" s="58"/>
    </row>
    <row r="205" spans="1:17" ht="14.4" x14ac:dyDescent="0.3">
      <c r="B205" s="11">
        <f t="shared" si="14"/>
        <v>11</v>
      </c>
      <c r="C205" s="52">
        <v>0.15527000427246093</v>
      </c>
      <c r="D205" s="53">
        <v>0.11927897453308106</v>
      </c>
      <c r="E205" s="53">
        <v>0.1499946403503418</v>
      </c>
      <c r="F205" s="53">
        <v>0.13304573059082031</v>
      </c>
      <c r="G205" s="53">
        <v>0.15</v>
      </c>
      <c r="H205" s="54">
        <f t="shared" si="17"/>
        <v>0.13939733743667604</v>
      </c>
      <c r="I205" s="7"/>
      <c r="J205" s="18">
        <v>-0.64295965566248015</v>
      </c>
      <c r="K205" s="19">
        <v>0.11928547330903427</v>
      </c>
      <c r="L205" s="20">
        <v>0.41276935346799398</v>
      </c>
      <c r="M205" s="52">
        <v>5.0000000000000001E-3</v>
      </c>
      <c r="N205" s="53">
        <v>6.0000000000000001E-3</v>
      </c>
      <c r="O205" s="55"/>
      <c r="P205" s="57"/>
      <c r="Q205" s="58"/>
    </row>
    <row r="206" spans="1:17" ht="14.4" x14ac:dyDescent="0.3">
      <c r="B206" s="11">
        <f t="shared" si="14"/>
        <v>12</v>
      </c>
      <c r="C206" s="52">
        <v>0.14614764213562012</v>
      </c>
      <c r="D206" s="53">
        <v>0.11889558792114258</v>
      </c>
      <c r="E206" s="53">
        <v>0.13968501091003419</v>
      </c>
      <c r="F206" s="53">
        <v>0.12068825721740722</v>
      </c>
      <c r="G206" s="53">
        <v>0.14000000000000001</v>
      </c>
      <c r="H206" s="54">
        <f t="shared" si="17"/>
        <v>0.131354124546051</v>
      </c>
      <c r="I206" s="7"/>
      <c r="J206" s="18">
        <v>0.48537935807344468</v>
      </c>
      <c r="K206" s="19">
        <v>0.50143805372989902</v>
      </c>
      <c r="L206" s="20">
        <v>0.32123640539584503</v>
      </c>
      <c r="M206" s="52">
        <v>1.3000000000000001E-2</v>
      </c>
      <c r="N206" s="53">
        <v>1.3999999999999999E-2</v>
      </c>
      <c r="O206" s="55"/>
      <c r="P206" s="57"/>
      <c r="Q206" s="58"/>
    </row>
    <row r="207" spans="1:17" ht="14.4" x14ac:dyDescent="0.3">
      <c r="A207" s="11">
        <f t="shared" ref="A207" si="21">A195+1</f>
        <v>2017</v>
      </c>
      <c r="B207" s="11">
        <f t="shared" si="14"/>
        <v>1</v>
      </c>
      <c r="C207" s="52">
        <v>0.14679202079772949</v>
      </c>
      <c r="D207" s="53">
        <v>0.11848930358886718</v>
      </c>
      <c r="E207" s="53">
        <v>0.13999464035034179</v>
      </c>
      <c r="F207" s="53">
        <v>0.11903569221496582</v>
      </c>
      <c r="G207" s="53">
        <v>0.14000000000000001</v>
      </c>
      <c r="H207" s="54">
        <f t="shared" si="17"/>
        <v>0.13107791423797607</v>
      </c>
      <c r="I207" s="7">
        <v>2.096915099568136</v>
      </c>
      <c r="J207" s="18">
        <v>1.7340436536796489</v>
      </c>
      <c r="K207" s="19">
        <v>-0.10212797053604561</v>
      </c>
      <c r="L207" s="20">
        <v>0.32025401285682598</v>
      </c>
      <c r="M207" s="52">
        <v>2.1000000000000001E-2</v>
      </c>
      <c r="N207" s="53">
        <v>2.6000000000000002E-2</v>
      </c>
      <c r="O207" s="55"/>
      <c r="P207" s="57"/>
      <c r="Q207" s="58"/>
    </row>
    <row r="208" spans="1:17" ht="14.4" x14ac:dyDescent="0.3">
      <c r="B208" s="11">
        <f t="shared" ref="B208:B271" si="22">B196</f>
        <v>2</v>
      </c>
      <c r="C208" s="52">
        <v>0.14636075019836425</v>
      </c>
      <c r="D208" s="53">
        <v>0.11806048393249512</v>
      </c>
      <c r="E208" s="53">
        <v>0.13999464035034179</v>
      </c>
      <c r="F208" s="53">
        <v>0.11820464134216309</v>
      </c>
      <c r="G208" s="53">
        <v>0.14000000000000001</v>
      </c>
      <c r="H208" s="54">
        <f t="shared" si="17"/>
        <v>0.13065512895584108</v>
      </c>
      <c r="I208" s="7">
        <v>2.4095901726494589</v>
      </c>
      <c r="J208" s="18">
        <v>1.8098960597539673</v>
      </c>
      <c r="K208" s="19">
        <v>2.0856663393054902</v>
      </c>
      <c r="L208" s="20">
        <v>0.37052158095358301</v>
      </c>
      <c r="M208" s="52">
        <v>2.4E-2</v>
      </c>
      <c r="N208" s="53">
        <v>2.6000000000000002E-2</v>
      </c>
      <c r="O208" s="55"/>
      <c r="P208" s="57"/>
      <c r="Q208" s="58"/>
    </row>
    <row r="209" spans="1:17" ht="14.4" x14ac:dyDescent="0.3">
      <c r="B209" s="11">
        <f t="shared" si="22"/>
        <v>3</v>
      </c>
      <c r="C209" s="52">
        <v>0.14486647605895997</v>
      </c>
      <c r="D209" s="53">
        <v>0.11760964393615722</v>
      </c>
      <c r="E209" s="53">
        <v>0.13999464035034179</v>
      </c>
      <c r="F209" s="53">
        <v>0.11825713157653808</v>
      </c>
      <c r="G209" s="53">
        <v>0.14000000000000001</v>
      </c>
      <c r="H209" s="54">
        <f t="shared" si="17"/>
        <v>0.13018197298049927</v>
      </c>
      <c r="I209" s="7">
        <v>3.1392089997480781</v>
      </c>
      <c r="J209" s="18">
        <v>2.9900489882909795</v>
      </c>
      <c r="K209" s="19">
        <v>2.8309861677497139</v>
      </c>
      <c r="L209" s="20">
        <v>0.19156607055230701</v>
      </c>
      <c r="M209" s="52">
        <v>3.1E-2</v>
      </c>
      <c r="N209" s="53">
        <v>2.7000000000000003E-2</v>
      </c>
      <c r="O209" s="55"/>
      <c r="P209" s="57"/>
      <c r="Q209" s="58"/>
    </row>
    <row r="210" spans="1:17" ht="14.4" x14ac:dyDescent="0.3">
      <c r="B210" s="11">
        <f t="shared" si="22"/>
        <v>4</v>
      </c>
      <c r="C210" s="52">
        <v>0.14320751190185546</v>
      </c>
      <c r="D210" s="53">
        <v>0.11713749885559083</v>
      </c>
      <c r="E210" s="53">
        <v>0.13999464035034179</v>
      </c>
      <c r="F210" s="53">
        <v>0.11919631958007812</v>
      </c>
      <c r="G210" s="53">
        <v>0.14000000000000001</v>
      </c>
      <c r="H210" s="54">
        <f t="shared" si="17"/>
        <v>0.12988399267196657</v>
      </c>
      <c r="I210" s="7">
        <v>3.250962190868222</v>
      </c>
      <c r="J210" s="18">
        <v>3.2294828047662349</v>
      </c>
      <c r="K210" s="19">
        <v>3.9010550154171568</v>
      </c>
      <c r="L210" s="20">
        <v>7.9259580901369003E-2</v>
      </c>
      <c r="M210" s="52">
        <v>3.2000000000000001E-2</v>
      </c>
      <c r="N210" s="53">
        <v>2.8999999999999998E-2</v>
      </c>
      <c r="O210" s="55"/>
      <c r="P210" s="57"/>
      <c r="Q210" s="58"/>
    </row>
    <row r="211" spans="1:17" ht="14.4" x14ac:dyDescent="0.3">
      <c r="B211" s="11">
        <f t="shared" si="22"/>
        <v>5</v>
      </c>
      <c r="C211" s="52">
        <v>0.14329723358154298</v>
      </c>
      <c r="D211" s="53">
        <v>0.11664490699768067</v>
      </c>
      <c r="E211" s="53">
        <v>0.13999464035034179</v>
      </c>
      <c r="F211" s="53">
        <v>0.12096664428710938</v>
      </c>
      <c r="G211" s="53">
        <v>0.14000000000000001</v>
      </c>
      <c r="H211" s="54">
        <f t="shared" si="17"/>
        <v>0.13022585630416869</v>
      </c>
      <c r="I211" s="7">
        <v>3.6532076469766679</v>
      </c>
      <c r="J211" s="18">
        <v>3.8397964095146904</v>
      </c>
      <c r="K211" s="19">
        <v>4.4840550131980734</v>
      </c>
      <c r="L211" s="20">
        <v>-8.5043447630165896E-3</v>
      </c>
      <c r="M211" s="52">
        <v>3.6000000000000004E-2</v>
      </c>
      <c r="N211" s="53">
        <v>3.7000000000000005E-2</v>
      </c>
      <c r="O211" s="55"/>
      <c r="P211" s="57"/>
      <c r="Q211" s="58"/>
    </row>
    <row r="212" spans="1:17" ht="14.4" x14ac:dyDescent="0.3">
      <c r="B212" s="11">
        <f t="shared" si="22"/>
        <v>6</v>
      </c>
      <c r="C212" s="52">
        <v>0.12328851699829102</v>
      </c>
      <c r="D212" s="53">
        <v>0.11613291740417481</v>
      </c>
      <c r="E212" s="53">
        <v>0.11937538146972657</v>
      </c>
      <c r="F212" s="53">
        <v>0.10345864295959473</v>
      </c>
      <c r="G212" s="53">
        <v>0.12</v>
      </c>
      <c r="H212" s="54">
        <f t="shared" si="17"/>
        <v>0.11556386470794677</v>
      </c>
      <c r="I212" s="7">
        <v>3.4091486551016743</v>
      </c>
      <c r="J212" s="18">
        <v>3.5341620592451051</v>
      </c>
      <c r="K212" s="19">
        <v>4.7328365767963874</v>
      </c>
      <c r="L212" s="20">
        <v>1.3184770771840699E-2</v>
      </c>
      <c r="M212" s="52">
        <v>3.4000000000000002E-2</v>
      </c>
      <c r="N212" s="53">
        <v>4.2999999999999997E-2</v>
      </c>
      <c r="O212" s="55"/>
      <c r="P212" s="57"/>
      <c r="Q212" s="58"/>
    </row>
    <row r="213" spans="1:17" ht="14.4" x14ac:dyDescent="0.3">
      <c r="B213" s="11">
        <f t="shared" si="22"/>
        <v>7</v>
      </c>
      <c r="C213" s="52">
        <v>0.12404189109802247</v>
      </c>
      <c r="D213" s="53">
        <v>0.11560275077819825</v>
      </c>
      <c r="E213" s="53">
        <v>0.1199946403503418</v>
      </c>
      <c r="F213" s="53">
        <v>0.1065177059173584</v>
      </c>
      <c r="G213" s="53">
        <v>0.12</v>
      </c>
      <c r="H213" s="54">
        <f t="shared" si="17"/>
        <v>0.11653924703598023</v>
      </c>
      <c r="I213" s="7">
        <v>3.3693785460553727</v>
      </c>
      <c r="J213" s="18">
        <v>3.3456207295756286</v>
      </c>
      <c r="K213" s="19">
        <v>3.9583168512216815</v>
      </c>
      <c r="L213" s="20">
        <v>2.1713030119877502E-2</v>
      </c>
      <c r="M213" s="52">
        <v>3.4000000000000002E-2</v>
      </c>
      <c r="N213" s="53">
        <v>3.6000000000000004E-2</v>
      </c>
      <c r="O213" s="55"/>
      <c r="P213" s="57"/>
      <c r="Q213" s="58"/>
    </row>
    <row r="214" spans="1:17" ht="14.4" x14ac:dyDescent="0.3">
      <c r="B214" s="11">
        <f t="shared" si="22"/>
        <v>8</v>
      </c>
      <c r="C214" s="52">
        <v>0.124808988571167</v>
      </c>
      <c r="D214" s="53">
        <v>0.11505565643310547</v>
      </c>
      <c r="E214" s="53">
        <v>0.1199946403503418</v>
      </c>
      <c r="F214" s="53">
        <v>0.10995616912841796</v>
      </c>
      <c r="G214" s="53">
        <v>0.12</v>
      </c>
      <c r="H214" s="54">
        <f t="shared" si="17"/>
        <v>0.11745386362075805</v>
      </c>
      <c r="I214" s="7">
        <v>4.9816508562065565</v>
      </c>
      <c r="J214" s="18">
        <v>5.4329782659740857</v>
      </c>
      <c r="K214" s="19">
        <v>5.0598138441923339</v>
      </c>
      <c r="L214" s="20">
        <v>9.9301999929977E-2</v>
      </c>
      <c r="M214" s="52">
        <v>0.05</v>
      </c>
      <c r="N214" s="53">
        <v>4.4999999999999998E-2</v>
      </c>
      <c r="O214" s="55"/>
      <c r="P214" s="57"/>
      <c r="Q214" s="58"/>
    </row>
    <row r="215" spans="1:17" ht="14.4" x14ac:dyDescent="0.3">
      <c r="B215" s="11">
        <f t="shared" si="22"/>
        <v>9</v>
      </c>
      <c r="C215" s="52">
        <v>0.12521059989929198</v>
      </c>
      <c r="D215" s="53">
        <v>0.11449293136596679</v>
      </c>
      <c r="E215" s="53">
        <v>0.1199946403503418</v>
      </c>
      <c r="F215" s="53">
        <v>0.11356748580932617</v>
      </c>
      <c r="G215" s="53">
        <v>0.12</v>
      </c>
      <c r="H215" s="54">
        <f t="shared" si="17"/>
        <v>0.11831641435623169</v>
      </c>
      <c r="I215" s="7">
        <v>5.7847679830039453</v>
      </c>
      <c r="J215" s="18">
        <v>6.6495439388066018</v>
      </c>
      <c r="K215" s="19">
        <v>5.8540377957083649</v>
      </c>
      <c r="L215" s="20">
        <v>0.14496553334005199</v>
      </c>
      <c r="M215" s="52">
        <v>5.7999999999999996E-2</v>
      </c>
      <c r="N215" s="53">
        <v>5.5999999999999994E-2</v>
      </c>
      <c r="O215" s="55"/>
      <c r="P215" s="57"/>
      <c r="Q215" s="58"/>
    </row>
    <row r="216" spans="1:17" ht="14.4" x14ac:dyDescent="0.3">
      <c r="B216" s="11">
        <f t="shared" si="22"/>
        <v>10</v>
      </c>
      <c r="C216" s="52">
        <v>0.12409733772277833</v>
      </c>
      <c r="D216" s="53">
        <v>0.1139159107208252</v>
      </c>
      <c r="E216" s="53">
        <v>0.1199946403503418</v>
      </c>
      <c r="F216" s="53">
        <v>0.11714132308959961</v>
      </c>
      <c r="G216" s="53">
        <v>0.12</v>
      </c>
      <c r="H216" s="54">
        <f t="shared" si="17"/>
        <v>0.11878730297088623</v>
      </c>
      <c r="I216" s="7">
        <v>6.8665142058487163</v>
      </c>
      <c r="J216" s="18">
        <v>8.1928791199965616</v>
      </c>
      <c r="K216" s="19">
        <v>7.3742322042998438</v>
      </c>
      <c r="L216" s="20">
        <v>2.93917326893419E-2</v>
      </c>
      <c r="M216" s="52">
        <v>6.9000000000000006E-2</v>
      </c>
      <c r="N216" s="53">
        <v>6.8000000000000005E-2</v>
      </c>
      <c r="O216" s="55"/>
      <c r="P216" s="57"/>
      <c r="Q216" s="58"/>
    </row>
    <row r="217" spans="1:17" ht="14.4" x14ac:dyDescent="0.3">
      <c r="B217" s="11">
        <f t="shared" si="22"/>
        <v>11</v>
      </c>
      <c r="C217" s="52">
        <v>0.12343839645385742</v>
      </c>
      <c r="D217" s="53">
        <v>0.11332594871520996</v>
      </c>
      <c r="E217" s="53">
        <v>0.1199946403503418</v>
      </c>
      <c r="F217" s="53">
        <v>0.12047834396362304</v>
      </c>
      <c r="G217" s="53">
        <v>0.12</v>
      </c>
      <c r="H217" s="54">
        <f t="shared" si="17"/>
        <v>0.11930933237075805</v>
      </c>
      <c r="I217" s="7">
        <v>6.4529764855533074</v>
      </c>
      <c r="J217" s="18">
        <v>7.6138143140258876</v>
      </c>
      <c r="K217" s="19">
        <v>6.8720022440783595</v>
      </c>
      <c r="L217" s="20">
        <v>2.1906497856519599E-2</v>
      </c>
      <c r="M217" s="52">
        <v>6.5000000000000002E-2</v>
      </c>
      <c r="N217" s="53">
        <v>6.8000000000000005E-2</v>
      </c>
      <c r="O217" s="55"/>
      <c r="P217" s="57"/>
      <c r="Q217" s="58"/>
    </row>
    <row r="218" spans="1:17" ht="14.4" x14ac:dyDescent="0.3">
      <c r="B218" s="11">
        <f t="shared" si="22"/>
        <v>12</v>
      </c>
      <c r="C218" s="52">
        <v>0.11296009063720704</v>
      </c>
      <c r="D218" s="53">
        <v>0.11272446632385254</v>
      </c>
      <c r="E218" s="53">
        <v>0.10968501091003419</v>
      </c>
      <c r="F218" s="53">
        <v>0.1134034538269043</v>
      </c>
      <c r="G218" s="53">
        <v>0.11</v>
      </c>
      <c r="H218" s="54">
        <f t="shared" si="17"/>
        <v>0.11219325542449951</v>
      </c>
      <c r="I218" s="7">
        <v>6.4123855270447478</v>
      </c>
      <c r="J218" s="18">
        <v>7.2251293729168964</v>
      </c>
      <c r="K218" s="19">
        <v>7.0467495997188934</v>
      </c>
      <c r="L218" s="20">
        <v>6.3725904627557797E-2</v>
      </c>
      <c r="M218" s="52">
        <v>6.4000000000000001E-2</v>
      </c>
      <c r="N218" s="53">
        <v>6.4000000000000001E-2</v>
      </c>
      <c r="O218" s="55"/>
      <c r="P218" s="57"/>
      <c r="Q218" s="58"/>
    </row>
    <row r="219" spans="1:17" ht="14.4" x14ac:dyDescent="0.3">
      <c r="A219" s="11">
        <f t="shared" ref="A219" si="23">A207+1</f>
        <v>2018</v>
      </c>
      <c r="B219" s="11">
        <f t="shared" si="22"/>
        <v>1</v>
      </c>
      <c r="C219" s="52">
        <v>0.114097261428833</v>
      </c>
      <c r="D219" s="53">
        <v>0.11211294174194336</v>
      </c>
      <c r="E219" s="53">
        <v>0.1099946403503418</v>
      </c>
      <c r="F219" s="53">
        <v>0.11577651023864746</v>
      </c>
      <c r="G219" s="53">
        <v>0.11</v>
      </c>
      <c r="H219" s="54">
        <f t="shared" si="17"/>
        <v>0.11299533843994142</v>
      </c>
      <c r="I219" s="7">
        <v>6.8517533318574806</v>
      </c>
      <c r="J219" s="18">
        <v>8.0258308565034326</v>
      </c>
      <c r="K219" s="19">
        <v>8.816602377969744</v>
      </c>
      <c r="L219" s="20">
        <v>9.0834044642492395E-2</v>
      </c>
      <c r="M219" s="52">
        <v>6.9000000000000006E-2</v>
      </c>
      <c r="N219" s="53">
        <v>6.7000000000000004E-2</v>
      </c>
      <c r="O219" s="55"/>
      <c r="P219" s="57"/>
      <c r="Q219" s="58"/>
    </row>
    <row r="220" spans="1:17" ht="14.4" x14ac:dyDescent="0.3">
      <c r="B220" s="11">
        <f t="shared" si="22"/>
        <v>2</v>
      </c>
      <c r="C220" s="52">
        <v>0.11398521423339844</v>
      </c>
      <c r="D220" s="53">
        <v>0.11149280548095702</v>
      </c>
      <c r="E220" s="53">
        <v>0.1099946403503418</v>
      </c>
      <c r="F220" s="53">
        <v>0.11749969482421875</v>
      </c>
      <c r="G220" s="53">
        <v>0.11</v>
      </c>
      <c r="H220" s="54">
        <f t="shared" si="17"/>
        <v>0.113243088722229</v>
      </c>
      <c r="I220" s="7">
        <v>6.910680477180307</v>
      </c>
      <c r="J220" s="18">
        <v>8.13589937323556</v>
      </c>
      <c r="K220" s="19">
        <v>8.5568004999242078</v>
      </c>
      <c r="L220" s="20">
        <v>8.31415316406659E-2</v>
      </c>
      <c r="M220" s="52">
        <v>6.9000000000000006E-2</v>
      </c>
      <c r="N220" s="53">
        <v>6.8000000000000005E-2</v>
      </c>
      <c r="O220" s="55"/>
      <c r="P220" s="57"/>
      <c r="Q220" s="58"/>
    </row>
    <row r="221" spans="1:17" ht="14.4" x14ac:dyDescent="0.3">
      <c r="B221" s="11">
        <f t="shared" si="22"/>
        <v>3</v>
      </c>
      <c r="C221" s="52">
        <v>0.10293261528015137</v>
      </c>
      <c r="D221" s="53">
        <v>0.11086549758911132</v>
      </c>
      <c r="E221" s="53">
        <v>9.9685010910034177E-2</v>
      </c>
      <c r="F221" s="53">
        <v>0.10852130889892578</v>
      </c>
      <c r="G221" s="53">
        <v>0.1</v>
      </c>
      <c r="H221" s="54">
        <f t="shared" si="17"/>
        <v>0.10550110816955566</v>
      </c>
      <c r="I221" s="7">
        <v>6.6361196122739443</v>
      </c>
      <c r="J221" s="18">
        <v>7.6915677251460721</v>
      </c>
      <c r="K221" s="19">
        <v>8.2368344585829902</v>
      </c>
      <c r="L221" s="20">
        <v>2.2960441193459798E-2</v>
      </c>
      <c r="M221" s="52">
        <v>6.6000000000000003E-2</v>
      </c>
      <c r="N221" s="53">
        <v>6.3E-2</v>
      </c>
      <c r="O221" s="55"/>
      <c r="P221" s="57"/>
      <c r="Q221" s="58"/>
    </row>
    <row r="222" spans="1:17" ht="14.4" x14ac:dyDescent="0.3">
      <c r="B222" s="11">
        <f t="shared" si="22"/>
        <v>4</v>
      </c>
      <c r="C222" s="52">
        <v>0.10206902503967286</v>
      </c>
      <c r="D222" s="53">
        <v>0.11023243904113769</v>
      </c>
      <c r="E222" s="53">
        <v>9.9994640350341793E-2</v>
      </c>
      <c r="F222" s="53">
        <v>0.10883563041687011</v>
      </c>
      <c r="G222" s="53">
        <v>0.1</v>
      </c>
      <c r="H222" s="54">
        <f t="shared" si="17"/>
        <v>0.10528293371200562</v>
      </c>
      <c r="I222" s="7">
        <v>6.0398873687199028</v>
      </c>
      <c r="J222" s="18">
        <v>6.6909736962180233</v>
      </c>
      <c r="K222" s="19">
        <v>6.6867405878679591</v>
      </c>
      <c r="L222" s="20">
        <v>3.1282373524043498E-2</v>
      </c>
      <c r="M222" s="52">
        <v>0.06</v>
      </c>
      <c r="N222" s="53">
        <v>6.0999999999999999E-2</v>
      </c>
      <c r="O222" s="55"/>
      <c r="P222" s="57"/>
      <c r="Q222" s="58"/>
    </row>
    <row r="223" spans="1:17" ht="14.4" x14ac:dyDescent="0.3">
      <c r="B223" s="11">
        <f t="shared" si="22"/>
        <v>5</v>
      </c>
      <c r="C223" s="52">
        <v>0.10110116004943848</v>
      </c>
      <c r="D223" s="53">
        <v>0.1095949649810791</v>
      </c>
      <c r="E223" s="53">
        <v>9.9994640350341793E-2</v>
      </c>
      <c r="F223" s="53">
        <v>0.10847944259643555</v>
      </c>
      <c r="G223" s="53">
        <v>0.1</v>
      </c>
      <c r="H223" s="54">
        <f t="shared" si="17"/>
        <v>0.10479255199432373</v>
      </c>
      <c r="I223" s="7">
        <v>6.1402705425187776</v>
      </c>
      <c r="J223" s="18">
        <v>6.5715156660060501</v>
      </c>
      <c r="K223" s="19">
        <v>6.4267372173159316</v>
      </c>
      <c r="L223" s="20">
        <v>0.108519352906833</v>
      </c>
      <c r="M223" s="52">
        <v>6.0999999999999999E-2</v>
      </c>
      <c r="N223" s="53">
        <v>0.06</v>
      </c>
      <c r="O223" s="55"/>
      <c r="P223" s="57"/>
      <c r="Q223" s="58"/>
    </row>
    <row r="224" spans="1:17" ht="14.4" x14ac:dyDescent="0.3">
      <c r="B224" s="11">
        <f t="shared" si="22"/>
        <v>6</v>
      </c>
      <c r="C224" s="52">
        <v>0.1013741683959961</v>
      </c>
      <c r="D224" s="53">
        <v>0.10895432472229004</v>
      </c>
      <c r="E224" s="53">
        <v>9.9994640350341793E-2</v>
      </c>
      <c r="F224" s="53">
        <v>0.10752544403076172</v>
      </c>
      <c r="G224" s="53">
        <v>0.1</v>
      </c>
      <c r="H224" s="54">
        <f t="shared" si="17"/>
        <v>0.10446214437484741</v>
      </c>
      <c r="I224" s="7">
        <v>7.2001644530136275</v>
      </c>
      <c r="J224" s="18">
        <v>7.9574164668084677</v>
      </c>
      <c r="K224" s="19">
        <v>6.7461224221108296</v>
      </c>
      <c r="L224" s="20">
        <v>-5.7871772027618803E-3</v>
      </c>
      <c r="M224" s="52">
        <v>7.2000000000000008E-2</v>
      </c>
      <c r="N224" s="53">
        <v>6.9000000000000006E-2</v>
      </c>
      <c r="O224" s="55"/>
      <c r="P224" s="57"/>
      <c r="Q224" s="58"/>
    </row>
    <row r="225" spans="1:17" ht="14.4" x14ac:dyDescent="0.3">
      <c r="B225" s="11">
        <f t="shared" si="22"/>
        <v>7</v>
      </c>
      <c r="C225" s="52">
        <v>9.9879179000854496E-2</v>
      </c>
      <c r="D225" s="53">
        <v>0.10831170082092285</v>
      </c>
      <c r="E225" s="53">
        <v>9.9994640350341793E-2</v>
      </c>
      <c r="F225" s="53">
        <v>0.10607362747192382</v>
      </c>
      <c r="G225" s="53">
        <v>0.1</v>
      </c>
      <c r="H225" s="54">
        <f t="shared" si="17"/>
        <v>0.10356478691101074</v>
      </c>
      <c r="I225" s="7">
        <v>7.7312533539737416</v>
      </c>
      <c r="J225" s="18">
        <v>8.7723020467057182</v>
      </c>
      <c r="K225" s="19">
        <v>7.4598394730507778</v>
      </c>
      <c r="L225" s="20">
        <v>-1.7346408427971399E-2</v>
      </c>
      <c r="M225" s="52">
        <v>7.6999999999999999E-2</v>
      </c>
      <c r="N225" s="53">
        <v>7.2000000000000008E-2</v>
      </c>
      <c r="O225" s="55"/>
      <c r="P225" s="57"/>
      <c r="Q225" s="58"/>
    </row>
    <row r="226" spans="1:17" ht="14.4" x14ac:dyDescent="0.3">
      <c r="B226" s="11">
        <f t="shared" si="22"/>
        <v>8</v>
      </c>
      <c r="C226" s="52">
        <v>9.8012466430664066E-2</v>
      </c>
      <c r="D226" s="53">
        <v>0.1076682186126709</v>
      </c>
      <c r="E226" s="53">
        <v>9.9994640350341793E-2</v>
      </c>
      <c r="F226" s="53">
        <v>0.10424135208129882</v>
      </c>
      <c r="G226" s="53">
        <v>0.1</v>
      </c>
      <c r="H226" s="54">
        <f t="shared" si="17"/>
        <v>0.10247916936874389</v>
      </c>
      <c r="I226" s="7">
        <v>5.9998522196566455</v>
      </c>
      <c r="J226" s="18">
        <v>6.4461301768564425</v>
      </c>
      <c r="K226" s="19">
        <v>6.4789631397928815</v>
      </c>
      <c r="L226" s="20">
        <v>-1.7286003219921901E-2</v>
      </c>
      <c r="M226" s="52">
        <v>0.06</v>
      </c>
      <c r="N226" s="53">
        <v>7.0999999999999994E-2</v>
      </c>
      <c r="O226" s="55"/>
      <c r="P226" s="57"/>
      <c r="Q226" s="58"/>
    </row>
    <row r="227" spans="1:17" ht="14.4" x14ac:dyDescent="0.3">
      <c r="B227" s="11">
        <f t="shared" si="22"/>
        <v>9</v>
      </c>
      <c r="C227" s="52">
        <v>9.7789468765258791E-2</v>
      </c>
      <c r="D227" s="53">
        <v>0.10702491760253906</v>
      </c>
      <c r="E227" s="53">
        <v>9.9994640350341793E-2</v>
      </c>
      <c r="F227" s="53">
        <v>0.10215317726135253</v>
      </c>
      <c r="G227" s="53">
        <v>0.1</v>
      </c>
      <c r="H227" s="54">
        <f t="shared" si="17"/>
        <v>0.10174055099487304</v>
      </c>
      <c r="I227" s="7">
        <v>5.6870089921373648</v>
      </c>
      <c r="J227" s="18">
        <v>5.9247435025858977</v>
      </c>
      <c r="K227" s="19">
        <v>6.5306346086682936</v>
      </c>
      <c r="L227" s="20">
        <v>-4.0018424484167599E-2</v>
      </c>
      <c r="M227" s="52">
        <v>5.7000000000000002E-2</v>
      </c>
      <c r="N227" s="53">
        <v>5.7999999999999996E-2</v>
      </c>
      <c r="O227" s="55"/>
      <c r="P227" s="57"/>
      <c r="Q227" s="58"/>
    </row>
    <row r="228" spans="1:17" ht="14.4" x14ac:dyDescent="0.3">
      <c r="B228" s="11">
        <f t="shared" si="22"/>
        <v>10</v>
      </c>
      <c r="C228" s="52">
        <v>9.8318681716918946E-2</v>
      </c>
      <c r="D228" s="53">
        <v>0.10638278007507324</v>
      </c>
      <c r="E228" s="53">
        <v>9.9994640350341793E-2</v>
      </c>
      <c r="F228" s="53">
        <v>9.9931354522705074E-2</v>
      </c>
      <c r="G228" s="53">
        <v>0.1</v>
      </c>
      <c r="H228" s="54">
        <f t="shared" ref="H228:H291" si="24">AVERAGE(C228:F228)</f>
        <v>0.10115686416625976</v>
      </c>
      <c r="I228" s="7">
        <v>6.2798962627032751</v>
      </c>
      <c r="J228" s="18">
        <v>6.8174821404141852</v>
      </c>
      <c r="K228" s="19">
        <v>6.9056655385372778</v>
      </c>
      <c r="L228" s="20">
        <v>-0.105672147052652</v>
      </c>
      <c r="M228" s="52">
        <v>6.3E-2</v>
      </c>
      <c r="N228" s="53">
        <v>5.7000000000000002E-2</v>
      </c>
      <c r="O228" s="55"/>
      <c r="P228" s="57"/>
      <c r="Q228" s="58"/>
    </row>
    <row r="229" spans="1:17" ht="14.4" x14ac:dyDescent="0.3">
      <c r="B229" s="11">
        <f t="shared" si="22"/>
        <v>11</v>
      </c>
      <c r="C229" s="52">
        <v>0.10686511993408203</v>
      </c>
      <c r="D229" s="53">
        <v>0.10574275970458985</v>
      </c>
      <c r="E229" s="53">
        <v>0.11030426979064942</v>
      </c>
      <c r="F229" s="53">
        <v>0.1076878547668457</v>
      </c>
      <c r="G229" s="53">
        <v>0.11</v>
      </c>
      <c r="H229" s="54">
        <f t="shared" si="24"/>
        <v>0.10765000104904177</v>
      </c>
      <c r="I229" s="7">
        <v>8.0661332203150096</v>
      </c>
      <c r="J229" s="18">
        <v>9.2914618251904812</v>
      </c>
      <c r="K229" s="19">
        <v>8.9194195029013343</v>
      </c>
      <c r="L229" s="20">
        <v>-0.180859174294073</v>
      </c>
      <c r="M229" s="52">
        <v>8.1000000000000003E-2</v>
      </c>
      <c r="N229" s="53">
        <v>6.6000000000000003E-2</v>
      </c>
      <c r="O229" s="55"/>
      <c r="P229" s="57"/>
      <c r="Q229" s="58"/>
    </row>
    <row r="230" spans="1:17" ht="14.4" x14ac:dyDescent="0.3">
      <c r="B230" s="11">
        <f t="shared" si="22"/>
        <v>12</v>
      </c>
      <c r="C230" s="52">
        <v>0.10777846336364746</v>
      </c>
      <c r="D230" s="53">
        <v>0.10510573387145997</v>
      </c>
      <c r="E230" s="53">
        <v>0.1099946403503418</v>
      </c>
      <c r="F230" s="53">
        <v>0.10551833152770997</v>
      </c>
      <c r="G230" s="53">
        <v>0.11</v>
      </c>
      <c r="H230" s="54">
        <f t="shared" si="24"/>
        <v>0.10709929227828979</v>
      </c>
      <c r="I230" s="7">
        <v>8.1324306010331071</v>
      </c>
      <c r="J230" s="18">
        <v>9.6657399469246883</v>
      </c>
      <c r="K230" s="19">
        <v>8.9612545278118176</v>
      </c>
      <c r="L230" s="20">
        <v>-0.101964145917685</v>
      </c>
      <c r="M230" s="52">
        <v>8.1000000000000003E-2</v>
      </c>
      <c r="N230" s="53">
        <v>7.9000000000000001E-2</v>
      </c>
      <c r="O230" s="55"/>
      <c r="P230" s="57"/>
      <c r="Q230" s="58"/>
    </row>
    <row r="231" spans="1:17" ht="14.4" x14ac:dyDescent="0.3">
      <c r="A231" s="11">
        <f t="shared" ref="A231" si="25">A219+1</f>
        <v>2019</v>
      </c>
      <c r="B231" s="11">
        <f t="shared" si="22"/>
        <v>1</v>
      </c>
      <c r="C231" s="52">
        <v>0.10783735275268555</v>
      </c>
      <c r="D231" s="53">
        <v>0.10447262763977051</v>
      </c>
      <c r="E231" s="53">
        <v>0.1099946403503418</v>
      </c>
      <c r="F231" s="53">
        <v>0.10349853515625</v>
      </c>
      <c r="G231" s="53">
        <v>0.11</v>
      </c>
      <c r="H231" s="54">
        <f t="shared" si="24"/>
        <v>0.10645078897476197</v>
      </c>
      <c r="I231" s="7">
        <v>7.2824577370836749</v>
      </c>
      <c r="J231" s="18">
        <v>8.116518349504446</v>
      </c>
      <c r="K231" s="19">
        <v>6.6516853665789171</v>
      </c>
      <c r="L231" s="20">
        <v>-4.1545251358068698E-2</v>
      </c>
      <c r="M231" s="52">
        <v>7.2999999999999995E-2</v>
      </c>
      <c r="N231" s="53">
        <v>7.9000000000000001E-2</v>
      </c>
      <c r="O231" s="55"/>
      <c r="P231" s="57"/>
      <c r="Q231" s="58"/>
    </row>
    <row r="232" spans="1:17" ht="14.4" x14ac:dyDescent="0.3">
      <c r="B232" s="11">
        <f t="shared" si="22"/>
        <v>2</v>
      </c>
      <c r="C232" s="52">
        <v>0.10782539367675781</v>
      </c>
      <c r="D232" s="53">
        <v>0.10384438514709472</v>
      </c>
      <c r="E232" s="53">
        <v>0.1099946403503418</v>
      </c>
      <c r="F232" s="53">
        <v>0.10168326377868653</v>
      </c>
      <c r="G232" s="53">
        <v>0.11</v>
      </c>
      <c r="H232" s="54">
        <f t="shared" si="24"/>
        <v>0.10583692073822021</v>
      </c>
      <c r="I232" s="7">
        <v>6.8731023241096381</v>
      </c>
      <c r="J232" s="18">
        <v>7.8514381845889858</v>
      </c>
      <c r="K232" s="19">
        <v>7.1779791819684675</v>
      </c>
      <c r="L232" s="20">
        <v>-1.6057635434114099E-2</v>
      </c>
      <c r="M232" s="52">
        <v>6.9000000000000006E-2</v>
      </c>
      <c r="N232" s="53">
        <v>7.2000000000000008E-2</v>
      </c>
      <c r="O232" s="55"/>
      <c r="P232" s="57"/>
      <c r="Q232" s="58"/>
    </row>
    <row r="233" spans="1:17" ht="14.4" x14ac:dyDescent="0.3">
      <c r="B233" s="11">
        <f t="shared" si="22"/>
        <v>3</v>
      </c>
      <c r="C233" s="52">
        <v>0.10838236808776855</v>
      </c>
      <c r="D233" s="53">
        <v>0.10322201728820801</v>
      </c>
      <c r="E233" s="53">
        <v>0.1099946403503418</v>
      </c>
      <c r="F233" s="53">
        <v>0.10010749816894532</v>
      </c>
      <c r="G233" s="53">
        <v>0.11</v>
      </c>
      <c r="H233" s="54">
        <f t="shared" si="24"/>
        <v>0.10542663097381592</v>
      </c>
      <c r="I233" s="7">
        <v>6.6756424619326964</v>
      </c>
      <c r="J233" s="18">
        <v>7.4610232733258783</v>
      </c>
      <c r="K233" s="19">
        <v>7.1034600733144373</v>
      </c>
      <c r="L233" s="20">
        <v>2.91538014260476E-2</v>
      </c>
      <c r="M233" s="52">
        <v>6.7000000000000004E-2</v>
      </c>
      <c r="N233" s="53">
        <v>6.5000000000000002E-2</v>
      </c>
      <c r="O233" s="55"/>
      <c r="P233" s="57"/>
      <c r="Q233" s="58"/>
    </row>
    <row r="234" spans="1:17" ht="14.4" x14ac:dyDescent="0.3">
      <c r="B234" s="11">
        <f t="shared" si="22"/>
        <v>4</v>
      </c>
      <c r="C234" s="52">
        <v>0.10844685554504395</v>
      </c>
      <c r="D234" s="53">
        <v>0.10260656356811523</v>
      </c>
      <c r="E234" s="53">
        <v>0.1099946403503418</v>
      </c>
      <c r="F234" s="53">
        <v>9.8789520263671882E-2</v>
      </c>
      <c r="G234" s="53">
        <v>0.11</v>
      </c>
      <c r="H234" s="54">
        <f t="shared" si="24"/>
        <v>0.10495939493179321</v>
      </c>
      <c r="I234" s="7">
        <v>7.0124106230146026</v>
      </c>
      <c r="J234" s="18">
        <v>7.8388947719531075</v>
      </c>
      <c r="K234" s="19">
        <v>7.6160699233241189</v>
      </c>
      <c r="L234" s="20">
        <v>7.8319843998988399E-3</v>
      </c>
      <c r="M234" s="52">
        <v>7.0000000000000007E-2</v>
      </c>
      <c r="N234" s="53">
        <v>6.7000000000000004E-2</v>
      </c>
      <c r="O234" s="55"/>
      <c r="P234" s="57"/>
      <c r="Q234" s="58"/>
    </row>
    <row r="235" spans="1:17" ht="14.4" x14ac:dyDescent="0.3">
      <c r="B235" s="11">
        <f t="shared" si="22"/>
        <v>5</v>
      </c>
      <c r="C235" s="52">
        <v>0.10727324485778808</v>
      </c>
      <c r="D235" s="53">
        <v>0.10199913024902343</v>
      </c>
      <c r="E235" s="53">
        <v>0.1099946403503418</v>
      </c>
      <c r="F235" s="53">
        <v>9.7735328674316405E-2</v>
      </c>
      <c r="G235" s="53">
        <v>0.11</v>
      </c>
      <c r="H235" s="54">
        <f t="shared" si="24"/>
        <v>0.10425058603286742</v>
      </c>
      <c r="I235" s="7">
        <v>7.8924691077318556</v>
      </c>
      <c r="J235" s="18">
        <v>8.8165142439686122</v>
      </c>
      <c r="K235" s="19">
        <v>7.7429911823593756</v>
      </c>
      <c r="L235" s="20">
        <v>-0.118768685317022</v>
      </c>
      <c r="M235" s="52">
        <v>7.9000000000000001E-2</v>
      </c>
      <c r="N235" s="53">
        <v>6.8000000000000005E-2</v>
      </c>
      <c r="O235" s="55"/>
      <c r="P235" s="57"/>
      <c r="Q235" s="58"/>
    </row>
    <row r="236" spans="1:17" ht="14.4" x14ac:dyDescent="0.3">
      <c r="B236" s="11">
        <f t="shared" si="22"/>
        <v>6</v>
      </c>
      <c r="C236" s="52">
        <v>0.10675516128540039</v>
      </c>
      <c r="D236" s="53">
        <v>0.10140087127685547</v>
      </c>
      <c r="E236" s="53">
        <v>0.1099946403503418</v>
      </c>
      <c r="F236" s="53">
        <v>9.6943731307983394E-2</v>
      </c>
      <c r="G236" s="53">
        <v>0.11</v>
      </c>
      <c r="H236" s="54">
        <f t="shared" si="24"/>
        <v>0.10377360105514526</v>
      </c>
      <c r="I236" s="7">
        <v>8.0940006213316877</v>
      </c>
      <c r="J236" s="18">
        <v>9.5862268531413122</v>
      </c>
      <c r="K236" s="19">
        <v>8.262148055254201</v>
      </c>
      <c r="L236" s="20">
        <v>-5.5886748741485401E-2</v>
      </c>
      <c r="M236" s="52">
        <v>8.1000000000000003E-2</v>
      </c>
      <c r="N236" s="53">
        <v>7.4999999999999997E-2</v>
      </c>
      <c r="O236" s="55"/>
      <c r="P236" s="57"/>
      <c r="Q236" s="58"/>
    </row>
    <row r="237" spans="1:17" ht="14.4" x14ac:dyDescent="0.3">
      <c r="B237" s="11">
        <f t="shared" si="22"/>
        <v>7</v>
      </c>
      <c r="C237" s="52">
        <v>0.10763303756713867</v>
      </c>
      <c r="D237" s="53">
        <v>0.10081300735473633</v>
      </c>
      <c r="E237" s="53">
        <v>0.1099946403503418</v>
      </c>
      <c r="F237" s="53">
        <v>9.6411428451538092E-2</v>
      </c>
      <c r="G237" s="53">
        <v>0.11</v>
      </c>
      <c r="H237" s="54">
        <f t="shared" si="24"/>
        <v>0.10371302843093873</v>
      </c>
      <c r="I237" s="7">
        <v>7.6850499058820532</v>
      </c>
      <c r="J237" s="18">
        <v>9.0475061146852624</v>
      </c>
      <c r="K237" s="19">
        <v>8.0922075734581398</v>
      </c>
      <c r="L237" s="20">
        <v>5.1308256035529597E-2</v>
      </c>
      <c r="M237" s="52">
        <v>7.400000000000001E-2</v>
      </c>
      <c r="N237" s="53">
        <v>7.4999999999999997E-2</v>
      </c>
      <c r="O237" s="55"/>
      <c r="P237" s="57"/>
      <c r="Q237" s="58"/>
    </row>
    <row r="238" spans="1:17" ht="14.4" x14ac:dyDescent="0.3">
      <c r="B238" s="11">
        <f t="shared" si="22"/>
        <v>8</v>
      </c>
      <c r="C238" s="52">
        <v>0.10596168518066407</v>
      </c>
      <c r="D238" s="53">
        <v>0.10023681640625</v>
      </c>
      <c r="E238" s="53">
        <v>0.1099946403503418</v>
      </c>
      <c r="F238" s="53">
        <v>9.6137475967407224E-2</v>
      </c>
      <c r="G238" s="53">
        <v>0.11</v>
      </c>
      <c r="H238" s="54">
        <f t="shared" si="24"/>
        <v>0.10308265447616577</v>
      </c>
      <c r="I238" s="7">
        <v>8.8633203380477568</v>
      </c>
      <c r="J238" s="18">
        <v>10.464280588263165</v>
      </c>
      <c r="K238" s="19">
        <v>8.4694092252265563</v>
      </c>
      <c r="L238" s="20">
        <v>-5.2407569849065201E-2</v>
      </c>
      <c r="M238" s="52">
        <v>8.900000000000001E-2</v>
      </c>
      <c r="N238" s="53">
        <v>8.6999999999999994E-2</v>
      </c>
      <c r="O238" s="55"/>
      <c r="P238" s="57"/>
      <c r="Q238" s="58"/>
    </row>
    <row r="239" spans="1:17" ht="14.4" x14ac:dyDescent="0.3">
      <c r="B239" s="11">
        <f t="shared" si="22"/>
        <v>9</v>
      </c>
      <c r="C239" s="52">
        <v>0.10487070083618164</v>
      </c>
      <c r="D239" s="53">
        <v>9.9673671722412108E-2</v>
      </c>
      <c r="E239" s="53">
        <v>0.1099946403503418</v>
      </c>
      <c r="F239" s="53">
        <v>9.6126499176025393E-2</v>
      </c>
      <c r="G239" s="53">
        <v>0.11</v>
      </c>
      <c r="H239" s="54">
        <f t="shared" si="24"/>
        <v>0.10266637802124023</v>
      </c>
      <c r="I239" s="7">
        <v>8.994349316732368</v>
      </c>
      <c r="J239" s="18">
        <v>10.477467571642634</v>
      </c>
      <c r="K239" s="19">
        <v>7.6806060424986384</v>
      </c>
      <c r="L239" s="20">
        <v>-9.4793020530384103E-2</v>
      </c>
      <c r="M239" s="52">
        <v>0.09</v>
      </c>
      <c r="N239" s="53">
        <v>8.8000000000000009E-2</v>
      </c>
      <c r="O239" s="55"/>
      <c r="P239" s="57"/>
      <c r="Q239" s="58"/>
    </row>
    <row r="240" spans="1:17" ht="14.4" x14ac:dyDescent="0.3">
      <c r="B240" s="11">
        <f t="shared" si="22"/>
        <v>10</v>
      </c>
      <c r="C240" s="52">
        <v>0.10575363159179688</v>
      </c>
      <c r="D240" s="53">
        <v>9.912497520446778E-2</v>
      </c>
      <c r="E240" s="53">
        <v>0.1099946403503418</v>
      </c>
      <c r="F240" s="53">
        <v>9.6390476226806646E-2</v>
      </c>
      <c r="G240" s="53">
        <v>0.11</v>
      </c>
      <c r="H240" s="54">
        <f t="shared" si="24"/>
        <v>0.10281593084335328</v>
      </c>
      <c r="I240" s="7">
        <v>7.5952464937249147</v>
      </c>
      <c r="J240" s="18">
        <v>8.4645963870902534</v>
      </c>
      <c r="K240" s="19">
        <v>6.0388477674135714</v>
      </c>
      <c r="L240" s="20">
        <v>-9.2096048020996399E-2</v>
      </c>
      <c r="M240" s="52">
        <v>7.5999999999999998E-2</v>
      </c>
      <c r="N240" s="53">
        <v>8.199999999999999E-2</v>
      </c>
      <c r="O240" s="55"/>
      <c r="P240" s="57"/>
      <c r="Q240" s="58"/>
    </row>
    <row r="241" spans="1:17" ht="14.4" x14ac:dyDescent="0.3">
      <c r="B241" s="11">
        <f t="shared" si="22"/>
        <v>11</v>
      </c>
      <c r="C241" s="52">
        <v>0.10734668731689453</v>
      </c>
      <c r="D241" s="53">
        <v>9.8592262268066402E-2</v>
      </c>
      <c r="E241" s="53">
        <v>0.1099946403503418</v>
      </c>
      <c r="F241" s="53">
        <v>9.6948738098144527E-2</v>
      </c>
      <c r="G241" s="53">
        <v>0.11</v>
      </c>
      <c r="H241" s="54">
        <f t="shared" si="24"/>
        <v>0.10322058200836182</v>
      </c>
      <c r="I241" s="7">
        <v>5.2277873849991465</v>
      </c>
      <c r="J241" s="18">
        <v>5.0292447594843992</v>
      </c>
      <c r="K241" s="19">
        <v>3.9582634478661163</v>
      </c>
      <c r="L241" s="20">
        <v>-5.3454482783714098E-2</v>
      </c>
      <c r="M241" s="52">
        <v>5.2000000000000005E-2</v>
      </c>
      <c r="N241" s="53">
        <v>6.2E-2</v>
      </c>
      <c r="O241" s="55"/>
      <c r="P241" s="57"/>
      <c r="Q241" s="58"/>
    </row>
    <row r="242" spans="1:17" ht="14.4" x14ac:dyDescent="0.3">
      <c r="B242" s="11">
        <f t="shared" si="22"/>
        <v>12</v>
      </c>
      <c r="C242" s="52">
        <v>0.10767746925354003</v>
      </c>
      <c r="D242" s="53">
        <v>9.807711601257324E-2</v>
      </c>
      <c r="E242" s="53">
        <v>0.1099946403503418</v>
      </c>
      <c r="F242" s="53">
        <v>9.782633781433106E-2</v>
      </c>
      <c r="G242" s="53">
        <v>0.11</v>
      </c>
      <c r="H242" s="54">
        <f t="shared" si="24"/>
        <v>0.10339389085769654</v>
      </c>
      <c r="I242" s="7">
        <v>5.2310703097044211</v>
      </c>
      <c r="J242" s="18">
        <v>5.0071517419117839</v>
      </c>
      <c r="K242" s="19">
        <v>4.2463521264981097</v>
      </c>
      <c r="L242" s="20">
        <v>-1.43739642904305E-2</v>
      </c>
      <c r="M242" s="52">
        <v>5.2000000000000005E-2</v>
      </c>
      <c r="N242" s="53">
        <v>5.2000000000000005E-2</v>
      </c>
      <c r="O242" s="55"/>
      <c r="P242" s="57"/>
      <c r="Q242" s="58"/>
    </row>
    <row r="243" spans="1:17" ht="14.4" x14ac:dyDescent="0.3">
      <c r="A243" s="11">
        <f t="shared" ref="A243" si="26">A231+1</f>
        <v>2020</v>
      </c>
      <c r="B243" s="11">
        <f t="shared" si="22"/>
        <v>1</v>
      </c>
      <c r="C243" s="52">
        <v>0.11044438362121582</v>
      </c>
      <c r="D243" s="53">
        <v>9.7581224441528322E-2</v>
      </c>
      <c r="E243" s="53">
        <v>0.1099946403503418</v>
      </c>
      <c r="F243" s="53">
        <v>9.905096054077149E-2</v>
      </c>
      <c r="G243" s="53">
        <v>0.11</v>
      </c>
      <c r="H243" s="54">
        <f t="shared" si="24"/>
        <v>0.10426780223846437</v>
      </c>
      <c r="I243" s="7">
        <v>5.5857784462876339</v>
      </c>
      <c r="J243" s="18">
        <v>6.0010561954667736</v>
      </c>
      <c r="K243" s="19">
        <v>5.0332403289129672</v>
      </c>
      <c r="L243" s="20">
        <v>-5.67259733815203E-2</v>
      </c>
      <c r="M243" s="52">
        <v>5.5999999999999994E-2</v>
      </c>
      <c r="N243" s="53">
        <v>0.06</v>
      </c>
      <c r="O243" s="55"/>
      <c r="P243" s="57"/>
      <c r="Q243" s="58"/>
    </row>
    <row r="244" spans="1:17" ht="14.4" x14ac:dyDescent="0.3">
      <c r="B244" s="11">
        <f t="shared" si="22"/>
        <v>2</v>
      </c>
      <c r="C244" s="52">
        <v>0.11002593994140625</v>
      </c>
      <c r="D244" s="53">
        <v>9.7106361389160151E-2</v>
      </c>
      <c r="E244" s="53">
        <v>0.1099946403503418</v>
      </c>
      <c r="F244" s="53">
        <v>0.10064874649047852</v>
      </c>
      <c r="G244" s="53">
        <v>0.11</v>
      </c>
      <c r="H244" s="54">
        <f t="shared" si="24"/>
        <v>0.10444392204284668</v>
      </c>
      <c r="I244" s="7">
        <v>6.3527064615065143</v>
      </c>
      <c r="J244" s="18">
        <v>6.9305548140761601</v>
      </c>
      <c r="K244" s="19">
        <v>5.1253062975714272</v>
      </c>
      <c r="L244" s="20">
        <v>-2.0821762109708501</v>
      </c>
      <c r="M244" s="52">
        <v>6.3E-2</v>
      </c>
      <c r="N244" s="53">
        <v>0.06</v>
      </c>
      <c r="O244" s="55"/>
      <c r="P244" s="57"/>
      <c r="Q244" s="58"/>
    </row>
    <row r="245" spans="1:17" ht="14.4" x14ac:dyDescent="0.3">
      <c r="B245" s="11">
        <f t="shared" si="22"/>
        <v>3</v>
      </c>
      <c r="C245" s="52">
        <v>9.8503084182739259E-2</v>
      </c>
      <c r="D245" s="53">
        <v>9.6654386520385743E-2</v>
      </c>
      <c r="E245" s="53">
        <v>9.9685010910034177E-2</v>
      </c>
      <c r="F245" s="53">
        <v>9.2639579772949218E-2</v>
      </c>
      <c r="G245" s="53">
        <v>0.1</v>
      </c>
      <c r="H245" s="54">
        <f t="shared" si="24"/>
        <v>9.6870515346527103E-2</v>
      </c>
      <c r="I245" s="7">
        <v>6.361819891581419</v>
      </c>
      <c r="J245" s="18">
        <v>6.7815166993807168</v>
      </c>
      <c r="K245" s="19">
        <v>5.1547498796199278</v>
      </c>
      <c r="L245" s="20">
        <v>0.64430395632988902</v>
      </c>
      <c r="M245" s="52">
        <v>6.4000000000000001E-2</v>
      </c>
      <c r="N245" s="53">
        <v>6.2E-2</v>
      </c>
      <c r="O245" s="55"/>
      <c r="P245" s="57"/>
      <c r="Q245" s="58"/>
    </row>
    <row r="246" spans="1:17" ht="14.4" x14ac:dyDescent="0.3">
      <c r="B246" s="11">
        <f t="shared" si="22"/>
        <v>4</v>
      </c>
      <c r="C246" s="52">
        <v>8.7579631805419916E-2</v>
      </c>
      <c r="D246" s="53">
        <v>9.6227283477783199E-2</v>
      </c>
      <c r="E246" s="53">
        <v>8.9685010910034182E-2</v>
      </c>
      <c r="F246" s="53">
        <v>8.5032215118408208E-2</v>
      </c>
      <c r="G246" s="53">
        <v>0.09</v>
      </c>
      <c r="H246" s="54">
        <f t="shared" si="24"/>
        <v>8.9631035327911376E-2</v>
      </c>
      <c r="I246" s="7">
        <v>4.6963440640156762</v>
      </c>
      <c r="J246" s="18">
        <v>5.2583356316292935</v>
      </c>
      <c r="K246" s="19">
        <v>4.0536546693446098</v>
      </c>
      <c r="L246" s="20">
        <v>0.15558143799382701</v>
      </c>
      <c r="M246" s="52">
        <v>4.5999999999999999E-2</v>
      </c>
      <c r="N246" s="53">
        <v>6.0999999999999999E-2</v>
      </c>
      <c r="O246" s="55"/>
      <c r="P246" s="57"/>
      <c r="Q246" s="58"/>
    </row>
    <row r="247" spans="1:17" ht="14.4" x14ac:dyDescent="0.3">
      <c r="B247" s="11">
        <f t="shared" si="22"/>
        <v>5</v>
      </c>
      <c r="C247" s="52">
        <v>8.7685241699218749E-2</v>
      </c>
      <c r="D247" s="53">
        <v>9.582704544067383E-2</v>
      </c>
      <c r="E247" s="53">
        <v>8.9994640350341798E-2</v>
      </c>
      <c r="F247" s="53">
        <v>8.7820043563842778E-2</v>
      </c>
      <c r="G247" s="53">
        <v>0.09</v>
      </c>
      <c r="H247" s="54">
        <f t="shared" si="24"/>
        <v>9.0331742763519296E-2</v>
      </c>
      <c r="I247" s="7">
        <v>3.2895032942207791</v>
      </c>
      <c r="J247" s="18">
        <v>3.5407435733521737</v>
      </c>
      <c r="K247" s="19">
        <v>2.9473818507891849</v>
      </c>
      <c r="L247" s="20">
        <v>2.0823223962708102E-3</v>
      </c>
      <c r="M247" s="52">
        <v>3.2000000000000001E-2</v>
      </c>
      <c r="N247" s="53">
        <v>3.7999999999999999E-2</v>
      </c>
      <c r="O247" s="55"/>
      <c r="P247" s="57"/>
      <c r="Q247" s="58"/>
    </row>
    <row r="248" spans="1:17" ht="14.4" x14ac:dyDescent="0.3">
      <c r="B248" s="11">
        <f t="shared" si="22"/>
        <v>6</v>
      </c>
      <c r="C248" s="52">
        <v>9.0812730789184573E-2</v>
      </c>
      <c r="D248" s="53">
        <v>9.5455608367919928E-2</v>
      </c>
      <c r="E248" s="53">
        <v>8.9994640350341798E-2</v>
      </c>
      <c r="F248" s="53">
        <v>9.0977725982666013E-2</v>
      </c>
      <c r="G248" s="53">
        <v>0.09</v>
      </c>
      <c r="H248" s="54">
        <f t="shared" si="24"/>
        <v>9.1810176372528071E-2</v>
      </c>
      <c r="I248" s="7">
        <v>2.84698156742013</v>
      </c>
      <c r="J248" s="18">
        <v>2.4357371289110006</v>
      </c>
      <c r="K248" s="19">
        <v>2.0588585235126402</v>
      </c>
      <c r="L248" s="20">
        <v>1.9174518582520901E-2</v>
      </c>
      <c r="M248" s="52">
        <v>2.7999999999999997E-2</v>
      </c>
      <c r="N248" s="53">
        <v>0.03</v>
      </c>
      <c r="O248" s="55"/>
      <c r="P248" s="57"/>
      <c r="Q248" s="58"/>
    </row>
    <row r="249" spans="1:17" ht="14.4" x14ac:dyDescent="0.3">
      <c r="B249" s="11">
        <f t="shared" si="22"/>
        <v>7</v>
      </c>
      <c r="C249" s="52">
        <v>8.9185762405395511E-2</v>
      </c>
      <c r="D249" s="53">
        <v>9.5114889144897463E-2</v>
      </c>
      <c r="E249" s="53">
        <v>8.9994640350341798E-2</v>
      </c>
      <c r="F249" s="53">
        <v>9.4459247589111325E-2</v>
      </c>
      <c r="G249" s="53">
        <v>0.09</v>
      </c>
      <c r="H249" s="54">
        <f t="shared" si="24"/>
        <v>9.2188634872436517E-2</v>
      </c>
      <c r="I249" s="7">
        <v>3.4421713958055022</v>
      </c>
      <c r="J249" s="18">
        <v>3.2170931843106274</v>
      </c>
      <c r="K249" s="19">
        <v>2.0298093920632994</v>
      </c>
      <c r="L249" s="20">
        <v>7.5731594002130698E-2</v>
      </c>
      <c r="M249" s="52">
        <v>3.4000000000000002E-2</v>
      </c>
      <c r="N249" s="53">
        <v>3.1E-2</v>
      </c>
      <c r="O249" s="55"/>
      <c r="P249" s="57"/>
      <c r="Q249" s="58"/>
    </row>
    <row r="250" spans="1:17" ht="14.4" x14ac:dyDescent="0.3">
      <c r="B250" s="11">
        <f t="shared" si="22"/>
        <v>8</v>
      </c>
      <c r="C250" s="52">
        <v>9.0931158065795895E-2</v>
      </c>
      <c r="D250" s="53">
        <v>9.4806747436523439E-2</v>
      </c>
      <c r="E250" s="53">
        <v>8.9994640350341798E-2</v>
      </c>
      <c r="F250" s="53">
        <v>9.819754600524902E-2</v>
      </c>
      <c r="G250" s="53">
        <v>0.09</v>
      </c>
      <c r="H250" s="54">
        <f t="shared" si="24"/>
        <v>9.3482522964477538E-2</v>
      </c>
      <c r="I250" s="7">
        <v>2.1084924398393383</v>
      </c>
      <c r="J250" s="18">
        <v>1.666767591800081</v>
      </c>
      <c r="K250" s="19">
        <v>1.5135558852630879</v>
      </c>
      <c r="L250" s="20">
        <v>6.2277979688724699E-2</v>
      </c>
      <c r="M250" s="52">
        <v>2.1000000000000001E-2</v>
      </c>
      <c r="N250" s="53">
        <v>3.6000000000000004E-2</v>
      </c>
      <c r="O250" s="55"/>
      <c r="P250" s="57"/>
      <c r="Q250" s="58"/>
    </row>
    <row r="251" spans="1:17" ht="14.4" x14ac:dyDescent="0.3">
      <c r="B251" s="11">
        <f t="shared" si="22"/>
        <v>9</v>
      </c>
      <c r="C251" s="52">
        <v>8.0646705627441403E-2</v>
      </c>
      <c r="D251" s="53">
        <v>9.4532995223999022E-2</v>
      </c>
      <c r="E251" s="53">
        <v>7.9685010910034174E-2</v>
      </c>
      <c r="F251" s="53">
        <v>9.2105875015258784E-2</v>
      </c>
      <c r="G251" s="53">
        <v>0.08</v>
      </c>
      <c r="H251" s="54">
        <f t="shared" si="24"/>
        <v>8.6742646694183342E-2</v>
      </c>
      <c r="I251" s="7">
        <v>1.7206505681071178</v>
      </c>
      <c r="J251" s="18">
        <v>1.3704198774220373</v>
      </c>
      <c r="K251" s="19">
        <v>2.0398999548304602</v>
      </c>
      <c r="L251" s="20">
        <v>8.7140867957097301E-2</v>
      </c>
      <c r="M251" s="52">
        <v>1.8000000000000002E-2</v>
      </c>
      <c r="N251" s="53">
        <v>2.3E-2</v>
      </c>
      <c r="O251" s="55"/>
      <c r="P251" s="57"/>
      <c r="Q251" s="58"/>
    </row>
    <row r="252" spans="1:17" ht="14.4" x14ac:dyDescent="0.3">
      <c r="B252" s="11">
        <f t="shared" si="22"/>
        <v>10</v>
      </c>
      <c r="C252" s="52">
        <v>8.0786333084106446E-2</v>
      </c>
      <c r="D252" s="53">
        <v>9.4295415878295902E-2</v>
      </c>
      <c r="E252" s="53">
        <v>7.9994640350341803E-2</v>
      </c>
      <c r="F252" s="53">
        <v>9.6080760955810543E-2</v>
      </c>
      <c r="G252" s="53">
        <v>0.08</v>
      </c>
      <c r="H252" s="54">
        <f t="shared" si="24"/>
        <v>8.7789287567138677E-2</v>
      </c>
      <c r="I252" s="7">
        <v>2.4381998242032523</v>
      </c>
      <c r="J252" s="18">
        <v>2.5576108653907568</v>
      </c>
      <c r="K252" s="19">
        <v>3.0351621081621829</v>
      </c>
      <c r="L252" s="20">
        <v>0.13900231801333701</v>
      </c>
      <c r="M252" s="52">
        <v>2.7000000000000003E-2</v>
      </c>
      <c r="N252" s="53">
        <v>2.6000000000000002E-2</v>
      </c>
      <c r="O252" s="55"/>
      <c r="P252" s="57"/>
      <c r="Q252" s="58"/>
    </row>
    <row r="253" spans="1:17" ht="14.4" x14ac:dyDescent="0.3">
      <c r="B253" s="11">
        <f t="shared" si="22"/>
        <v>11</v>
      </c>
      <c r="C253" s="52">
        <v>6.0849471092224119E-2</v>
      </c>
      <c r="D253" s="53">
        <v>9.4095697402954107E-2</v>
      </c>
      <c r="E253" s="53">
        <v>5.9375386238098148E-2</v>
      </c>
      <c r="F253" s="53">
        <v>8.000636100769043E-2</v>
      </c>
      <c r="G253" s="53">
        <v>0.06</v>
      </c>
      <c r="H253" s="54">
        <f t="shared" si="24"/>
        <v>7.3581728935241703E-2</v>
      </c>
      <c r="I253" s="7">
        <v>3.4964638588516692</v>
      </c>
      <c r="J253" s="18">
        <v>4.3492090578117342</v>
      </c>
      <c r="K253" s="19">
        <v>3.3190443855207263</v>
      </c>
      <c r="L253" s="20">
        <v>6.8797447751958896E-2</v>
      </c>
      <c r="M253" s="52">
        <v>3.3000000000000002E-2</v>
      </c>
      <c r="N253" s="53">
        <v>3.5000000000000003E-2</v>
      </c>
      <c r="O253" s="55"/>
      <c r="P253" s="57"/>
      <c r="Q253" s="58"/>
    </row>
    <row r="254" spans="1:17" ht="14.4" x14ac:dyDescent="0.3">
      <c r="B254" s="11">
        <f t="shared" si="22"/>
        <v>12</v>
      </c>
      <c r="C254" s="52">
        <v>6.326837062835694E-2</v>
      </c>
      <c r="D254" s="53">
        <v>9.393538475036621E-2</v>
      </c>
      <c r="E254" s="53">
        <v>5.9994640350341799E-2</v>
      </c>
      <c r="F254" s="53">
        <v>8.3759889602661133E-2</v>
      </c>
      <c r="G254" s="53">
        <v>0.06</v>
      </c>
      <c r="H254" s="54">
        <f t="shared" si="24"/>
        <v>7.5239571332931521E-2</v>
      </c>
      <c r="I254" s="7">
        <v>2.2769385378522173</v>
      </c>
      <c r="J254" s="18">
        <v>1.8916874295377113</v>
      </c>
      <c r="K254" s="19">
        <v>0.21698539998293143</v>
      </c>
      <c r="L254" s="20">
        <v>6.1884632001280401E-2</v>
      </c>
      <c r="M254" s="52">
        <v>2.3E-2</v>
      </c>
      <c r="N254" s="53">
        <v>3.5000000000000003E-2</v>
      </c>
      <c r="O254" s="55"/>
      <c r="P254" s="57"/>
      <c r="Q254" s="58"/>
    </row>
    <row r="255" spans="1:17" ht="14.4" x14ac:dyDescent="0.3">
      <c r="A255" s="11">
        <f t="shared" ref="A255" si="27">A243+1</f>
        <v>2021</v>
      </c>
      <c r="B255" s="11">
        <f t="shared" si="22"/>
        <v>1</v>
      </c>
      <c r="C255" s="52">
        <v>6.2065677642822267E-2</v>
      </c>
      <c r="D255" s="53">
        <v>9.3815784454345699E-2</v>
      </c>
      <c r="E255" s="53">
        <v>5.9994640350341799E-2</v>
      </c>
      <c r="F255" s="53">
        <v>8.7217731475830076E-2</v>
      </c>
      <c r="G255" s="53">
        <v>0.06</v>
      </c>
      <c r="H255" s="54">
        <f t="shared" si="24"/>
        <v>7.5773458480834957E-2</v>
      </c>
      <c r="I255" s="7"/>
      <c r="J255" s="9"/>
      <c r="K255" s="19">
        <v>5.4036324019372861</v>
      </c>
      <c r="L255" s="20">
        <v>7.2735294020574007E-2</v>
      </c>
      <c r="M255" s="52">
        <v>2.6000000000000002E-2</v>
      </c>
      <c r="N255" s="53">
        <v>2.7999999999999997E-2</v>
      </c>
      <c r="O255" s="55"/>
      <c r="P255" s="57"/>
      <c r="Q255" s="58"/>
    </row>
    <row r="256" spans="1:17" ht="14.4" x14ac:dyDescent="0.3">
      <c r="B256" s="11">
        <f t="shared" si="22"/>
        <v>2</v>
      </c>
      <c r="C256" s="52">
        <v>6.1989498138427732E-2</v>
      </c>
      <c r="D256" s="53">
        <v>9.3737926483154294E-2</v>
      </c>
      <c r="E256" s="53">
        <v>5.9994640350341799E-2</v>
      </c>
      <c r="F256" s="53">
        <v>9.0261659622192389E-2</v>
      </c>
      <c r="G256" s="53">
        <v>0.06</v>
      </c>
      <c r="H256" s="54">
        <f t="shared" si="24"/>
        <v>7.6495931148529053E-2</v>
      </c>
      <c r="I256" s="7"/>
      <c r="J256" s="9"/>
      <c r="K256" s="19">
        <v>5.1001926495430228</v>
      </c>
      <c r="L256" s="20">
        <v>7.8052824543099794E-2</v>
      </c>
      <c r="M256" s="52">
        <v>2.5000000000000001E-2</v>
      </c>
      <c r="N256" s="53">
        <v>0.02</v>
      </c>
      <c r="O256" s="55"/>
      <c r="P256" s="57"/>
      <c r="Q256" s="58"/>
    </row>
    <row r="257" spans="1:17" ht="14.4" x14ac:dyDescent="0.3">
      <c r="B257" s="11">
        <f t="shared" si="22"/>
        <v>3</v>
      </c>
      <c r="C257" s="52">
        <v>6.2183771133422855E-2</v>
      </c>
      <c r="D257" s="53">
        <v>9.3702592849731439E-2</v>
      </c>
      <c r="E257" s="53">
        <v>5.9994640350341799E-2</v>
      </c>
      <c r="F257" s="53">
        <v>9.2784805297851561E-2</v>
      </c>
      <c r="G257" s="53">
        <v>0.06</v>
      </c>
      <c r="H257" s="54">
        <f t="shared" si="24"/>
        <v>7.7166452407836914E-2</v>
      </c>
      <c r="I257" s="7"/>
      <c r="J257" s="9"/>
      <c r="K257" s="19">
        <v>4.6821010389578976</v>
      </c>
      <c r="L257" s="20">
        <v>6.6402467448007693E-2</v>
      </c>
      <c r="M257" s="52">
        <v>2.3E-2</v>
      </c>
      <c r="N257" s="53">
        <v>2.2000000000000002E-2</v>
      </c>
      <c r="O257" s="55"/>
      <c r="P257" s="57"/>
      <c r="Q257" s="58"/>
    </row>
    <row r="258" spans="1:17" ht="14.4" x14ac:dyDescent="0.3">
      <c r="B258" s="11">
        <f t="shared" si="22"/>
        <v>4</v>
      </c>
      <c r="C258" s="52">
        <v>6.3100047111511237E-2</v>
      </c>
      <c r="D258" s="53">
        <v>9.3710298538208003E-2</v>
      </c>
      <c r="E258" s="53">
        <v>5.9994640350341799E-2</v>
      </c>
      <c r="F258" s="53">
        <v>9.469686508178711E-2</v>
      </c>
      <c r="G258" s="53">
        <v>0.06</v>
      </c>
      <c r="H258" s="54">
        <f t="shared" si="24"/>
        <v>7.7875462770462034E-2</v>
      </c>
      <c r="I258" s="7"/>
      <c r="J258" s="9"/>
      <c r="K258" s="19">
        <v>4.9549597193004447</v>
      </c>
      <c r="L258" s="20">
        <v>2.62742008867906E-2</v>
      </c>
      <c r="M258" s="52">
        <v>5.2000000000000005E-2</v>
      </c>
      <c r="N258" s="53">
        <v>3.5000000000000003E-2</v>
      </c>
      <c r="O258" s="55"/>
      <c r="P258" s="57"/>
      <c r="Q258" s="58"/>
    </row>
    <row r="259" spans="1:17" ht="14.4" x14ac:dyDescent="0.3">
      <c r="B259" s="11">
        <f t="shared" si="22"/>
        <v>5</v>
      </c>
      <c r="C259" s="52">
        <v>6.4467468261718744E-2</v>
      </c>
      <c r="D259" s="53">
        <v>9.3761291503906247E-2</v>
      </c>
      <c r="E259" s="53">
        <v>5.9994640350341799E-2</v>
      </c>
      <c r="F259" s="53">
        <v>9.5928344726562503E-2</v>
      </c>
      <c r="G259" s="53">
        <v>0.06</v>
      </c>
      <c r="H259" s="54">
        <f t="shared" si="24"/>
        <v>7.853793621063232E-2</v>
      </c>
      <c r="I259" s="7"/>
      <c r="J259" s="9"/>
      <c r="K259" s="19">
        <v>5.5352237117268333</v>
      </c>
      <c r="L259" s="20">
        <v>3.5850037973137898E-2</v>
      </c>
      <c r="M259" s="52">
        <v>6.0999999999999999E-2</v>
      </c>
      <c r="N259" s="53">
        <v>5.2000000000000005E-2</v>
      </c>
      <c r="O259" s="55"/>
      <c r="P259" s="57"/>
      <c r="Q259" s="58"/>
    </row>
    <row r="260" spans="1:17" ht="14.4" x14ac:dyDescent="0.3">
      <c r="B260" s="11">
        <f t="shared" si="22"/>
        <v>6</v>
      </c>
      <c r="C260" s="52">
        <v>6.4042787551879879E-2</v>
      </c>
      <c r="D260" s="53">
        <v>9.3855581283569342E-2</v>
      </c>
      <c r="E260" s="53">
        <v>5.9994640350341799E-2</v>
      </c>
      <c r="F260" s="53">
        <v>9.6433343887329104E-2</v>
      </c>
      <c r="G260" s="53">
        <v>0.06</v>
      </c>
      <c r="H260" s="54">
        <f t="shared" si="24"/>
        <v>7.8581588268280031E-2</v>
      </c>
      <c r="I260" s="7"/>
      <c r="J260" s="9"/>
      <c r="K260" s="19">
        <v>6.6470762797516292</v>
      </c>
      <c r="L260" s="20">
        <v>4.5605952506721899E-2</v>
      </c>
      <c r="M260" s="52">
        <v>6.7000000000000004E-2</v>
      </c>
      <c r="N260" s="53">
        <v>5.5E-2</v>
      </c>
      <c r="O260" s="55"/>
      <c r="P260" s="57"/>
      <c r="Q260" s="58"/>
    </row>
    <row r="261" spans="1:17" ht="14.4" x14ac:dyDescent="0.3">
      <c r="B261" s="11">
        <f t="shared" si="22"/>
        <v>7</v>
      </c>
      <c r="C261" s="52">
        <v>6.2684030532836915E-2</v>
      </c>
      <c r="D261" s="53">
        <v>9.399289131164551E-2</v>
      </c>
      <c r="E261" s="53">
        <v>5.9994640350341799E-2</v>
      </c>
      <c r="F261" s="53">
        <v>9.6191053390502934E-2</v>
      </c>
      <c r="G261" s="53">
        <v>0.06</v>
      </c>
      <c r="H261" s="54">
        <f t="shared" si="24"/>
        <v>7.8215653896331783E-2</v>
      </c>
      <c r="I261" s="7"/>
      <c r="J261" s="9"/>
      <c r="K261" s="19">
        <v>6.651525111986345</v>
      </c>
      <c r="L261" s="20">
        <v>4.0186363596370997E-2</v>
      </c>
      <c r="M261" s="52">
        <v>7.6999999999999999E-2</v>
      </c>
      <c r="N261" s="53">
        <v>5.7999999999999996E-2</v>
      </c>
      <c r="O261" s="55"/>
      <c r="P261" s="57"/>
      <c r="Q261" s="58"/>
    </row>
    <row r="262" spans="1:17" ht="14.4" x14ac:dyDescent="0.3">
      <c r="B262" s="11">
        <f t="shared" si="22"/>
        <v>8</v>
      </c>
      <c r="C262" s="52">
        <v>6.267353534698486E-2</v>
      </c>
      <c r="D262" s="53">
        <v>9.4172697067260738E-2</v>
      </c>
      <c r="E262" s="53">
        <v>5.9994640350341799E-2</v>
      </c>
      <c r="F262" s="53">
        <v>9.5205678939819335E-2</v>
      </c>
      <c r="G262" s="53">
        <v>0.06</v>
      </c>
      <c r="H262" s="54">
        <f t="shared" si="24"/>
        <v>7.801163792610169E-2</v>
      </c>
      <c r="I262" s="7"/>
      <c r="J262" s="9"/>
      <c r="K262" s="19">
        <v>8.0107000107504831</v>
      </c>
      <c r="L262" s="20">
        <v>-8.02936023046915E-2</v>
      </c>
      <c r="M262" s="52">
        <v>9.6000000000000002E-2</v>
      </c>
      <c r="N262" s="53">
        <v>8.5000000000000006E-2</v>
      </c>
      <c r="O262" s="55"/>
      <c r="P262" s="57"/>
      <c r="Q262" s="58"/>
    </row>
    <row r="263" spans="1:17" ht="14.4" x14ac:dyDescent="0.3">
      <c r="B263" s="11">
        <f t="shared" si="22"/>
        <v>9</v>
      </c>
      <c r="C263" s="52">
        <v>6.2646327018737791E-2</v>
      </c>
      <c r="D263" s="53">
        <v>9.4394207000732422E-2</v>
      </c>
      <c r="E263" s="53">
        <v>5.9994640350341799E-2</v>
      </c>
      <c r="F263" s="53">
        <v>9.3505115509033204E-2</v>
      </c>
      <c r="G263" s="53">
        <v>0.06</v>
      </c>
      <c r="H263" s="54">
        <f t="shared" si="24"/>
        <v>7.7635072469711297E-2</v>
      </c>
      <c r="I263" s="7"/>
      <c r="J263" s="9"/>
      <c r="K263" s="19">
        <v>8.1929783736039532</v>
      </c>
      <c r="L263" s="20">
        <v>-0.21130136017216899</v>
      </c>
      <c r="M263" s="52">
        <v>0.10199999999999999</v>
      </c>
      <c r="N263" s="53">
        <v>9.4E-2</v>
      </c>
      <c r="O263" s="55"/>
      <c r="P263" s="57"/>
      <c r="Q263" s="58"/>
    </row>
    <row r="264" spans="1:17" ht="14.4" x14ac:dyDescent="0.3">
      <c r="B264" s="11">
        <f t="shared" si="22"/>
        <v>10</v>
      </c>
      <c r="C264" s="52">
        <v>6.3269572257995607E-2</v>
      </c>
      <c r="D264" s="53">
        <v>9.4656372070312494E-2</v>
      </c>
      <c r="E264" s="53">
        <v>5.9994640350341799E-2</v>
      </c>
      <c r="F264" s="53">
        <v>9.1138401031494135E-2</v>
      </c>
      <c r="G264" s="53">
        <v>0.06</v>
      </c>
      <c r="H264" s="54">
        <f t="shared" si="24"/>
        <v>7.7264746427536002E-2</v>
      </c>
      <c r="I264" s="7"/>
      <c r="J264" s="9"/>
      <c r="K264" s="19">
        <v>8.2176891974578226</v>
      </c>
      <c r="L264" s="20">
        <v>-0.130547845551203</v>
      </c>
      <c r="M264" s="52">
        <v>0.10400000000000001</v>
      </c>
      <c r="N264" s="53">
        <v>9.6999999999999989E-2</v>
      </c>
      <c r="O264" s="55"/>
      <c r="P264" s="57"/>
      <c r="Q264" s="58"/>
    </row>
    <row r="265" spans="1:17" ht="14.4" x14ac:dyDescent="0.3">
      <c r="B265" s="11">
        <f t="shared" si="22"/>
        <v>11</v>
      </c>
      <c r="C265" s="52">
        <v>6.2934322357177733E-2</v>
      </c>
      <c r="D265" s="53">
        <v>9.4957876205444339E-2</v>
      </c>
      <c r="E265" s="53">
        <v>5.9994640350341799E-2</v>
      </c>
      <c r="F265" s="53">
        <v>8.8172349929809574E-2</v>
      </c>
      <c r="G265" s="53">
        <v>0.06</v>
      </c>
      <c r="H265" s="54">
        <f t="shared" si="24"/>
        <v>7.6514797210693361E-2</v>
      </c>
      <c r="I265" s="7"/>
      <c r="J265" s="9"/>
      <c r="K265" s="19">
        <v>8.5051813203367743</v>
      </c>
      <c r="L265" s="20">
        <v>-8.6195870138555702E-5</v>
      </c>
      <c r="M265" s="52">
        <v>0.11</v>
      </c>
      <c r="N265" s="53">
        <v>9.9000000000000005E-2</v>
      </c>
      <c r="O265" s="55"/>
      <c r="P265" s="57"/>
      <c r="Q265" s="58"/>
    </row>
    <row r="266" spans="1:17" ht="14.4" x14ac:dyDescent="0.3">
      <c r="B266" s="11">
        <f t="shared" si="22"/>
        <v>12</v>
      </c>
      <c r="C266" s="52">
        <v>6.1419739723205566E-2</v>
      </c>
      <c r="D266" s="53">
        <v>9.5297136306762689E-2</v>
      </c>
      <c r="E266" s="53">
        <v>5.9994640350341799E-2</v>
      </c>
      <c r="F266" s="53">
        <v>8.4687604904174804E-2</v>
      </c>
      <c r="G266" s="53">
        <v>0.06</v>
      </c>
      <c r="H266" s="54">
        <f t="shared" si="24"/>
        <v>7.5349780321121218E-2</v>
      </c>
      <c r="I266" s="7">
        <v>13.826662391221145</v>
      </c>
      <c r="J266" s="9">
        <v>13.898176678156847</v>
      </c>
      <c r="K266" s="19">
        <v>11.001159592533426</v>
      </c>
      <c r="L266" s="20">
        <v>-5.2832762961146203E-2</v>
      </c>
      <c r="M266" s="52">
        <v>0.13800000000000001</v>
      </c>
      <c r="N266" s="53">
        <v>0.11599999999999999</v>
      </c>
      <c r="O266" s="55"/>
      <c r="P266" s="57"/>
      <c r="Q266" s="58"/>
    </row>
    <row r="267" spans="1:17" ht="14.4" x14ac:dyDescent="0.3">
      <c r="A267" s="11">
        <f t="shared" ref="A267" si="28">A255+1</f>
        <v>2022</v>
      </c>
      <c r="B267" s="11">
        <f t="shared" si="22"/>
        <v>1</v>
      </c>
      <c r="C267" s="52">
        <v>6.5748887062072756E-2</v>
      </c>
      <c r="D267" s="53">
        <v>9.5672292709350584E-2</v>
      </c>
      <c r="E267" s="53">
        <v>6.5149455070495604E-2</v>
      </c>
      <c r="F267" s="53">
        <v>8.5774440765380863E-2</v>
      </c>
      <c r="G267" s="53">
        <v>6.5000000000000002E-2</v>
      </c>
      <c r="H267" s="54">
        <f t="shared" si="24"/>
        <v>7.8086268901824948E-2</v>
      </c>
      <c r="I267" s="7">
        <v>15.116890422693107</v>
      </c>
      <c r="J267" s="9">
        <v>15.541074231575468</v>
      </c>
      <c r="K267" s="19">
        <v>12.548046919251377</v>
      </c>
      <c r="L267" s="20">
        <v>-1.6822234126836699E-2</v>
      </c>
      <c r="M267" s="52">
        <v>0.151</v>
      </c>
      <c r="N267" s="53">
        <v>0.13699999999999998</v>
      </c>
      <c r="O267" s="56">
        <v>0.14137980461120606</v>
      </c>
      <c r="P267" s="52"/>
      <c r="Q267" s="58"/>
    </row>
    <row r="268" spans="1:17" ht="14.4" x14ac:dyDescent="0.3">
      <c r="B268" s="11">
        <f t="shared" si="22"/>
        <v>2</v>
      </c>
      <c r="C268" s="52">
        <v>6.6008629798889162E-2</v>
      </c>
      <c r="D268" s="53">
        <v>9.6081209182739255E-2</v>
      </c>
      <c r="E268" s="53">
        <v>6.4994640350341804E-2</v>
      </c>
      <c r="F268" s="53">
        <v>8.1528673171997065E-2</v>
      </c>
      <c r="G268" s="53">
        <v>6.5000000000000002E-2</v>
      </c>
      <c r="H268" s="54">
        <f t="shared" si="24"/>
        <v>7.7153288125991829E-2</v>
      </c>
      <c r="I268" s="7">
        <v>15.316321367910568</v>
      </c>
      <c r="J268" s="9">
        <v>15.429072807860411</v>
      </c>
      <c r="K268" s="19">
        <v>13.491977968366452</v>
      </c>
      <c r="L268" s="20">
        <v>0.21951463739590801</v>
      </c>
      <c r="M268" s="52">
        <v>0.153</v>
      </c>
      <c r="N268" s="53">
        <v>0.14000000000000001</v>
      </c>
      <c r="O268" s="56">
        <v>0.15082650184631347</v>
      </c>
      <c r="P268" s="52"/>
      <c r="Q268" s="58"/>
    </row>
    <row r="269" spans="1:17" ht="14.4" x14ac:dyDescent="0.3">
      <c r="B269" s="11">
        <f t="shared" si="22"/>
        <v>3</v>
      </c>
      <c r="C269" s="52">
        <v>8.975141525268554E-2</v>
      </c>
      <c r="D269" s="53">
        <v>9.652153968811035E-2</v>
      </c>
      <c r="E269" s="53">
        <v>9.0768709182739257E-2</v>
      </c>
      <c r="F269" s="53">
        <v>0.10204782485961914</v>
      </c>
      <c r="G269" s="53">
        <v>0.09</v>
      </c>
      <c r="H269" s="54">
        <f t="shared" si="24"/>
        <v>9.4772372245788578E-2</v>
      </c>
      <c r="I269" s="7">
        <v>15.743917179885504</v>
      </c>
      <c r="J269" s="9">
        <v>15.890878288282305</v>
      </c>
      <c r="K269" s="19">
        <v>13.254794071009002</v>
      </c>
      <c r="L269" s="20">
        <v>-7.7678442637151596E-2</v>
      </c>
      <c r="M269" s="52">
        <v>0.157</v>
      </c>
      <c r="N269" s="53">
        <v>0.14499999999999999</v>
      </c>
      <c r="O269" s="56">
        <v>0.15955891609191894</v>
      </c>
      <c r="P269" s="52"/>
      <c r="Q269" s="58"/>
    </row>
    <row r="270" spans="1:17" ht="14.4" x14ac:dyDescent="0.3">
      <c r="B270" s="11">
        <f t="shared" si="22"/>
        <v>4</v>
      </c>
      <c r="C270" s="52">
        <v>9.4709033966064449E-2</v>
      </c>
      <c r="D270" s="53">
        <v>9.6990671157836911E-2</v>
      </c>
      <c r="E270" s="53">
        <v>8.9994640350341798E-2</v>
      </c>
      <c r="F270" s="53">
        <v>9.7427988052368159E-2</v>
      </c>
      <c r="G270" s="53">
        <v>0.09</v>
      </c>
      <c r="H270" s="54">
        <f t="shared" si="24"/>
        <v>9.4780583381652822E-2</v>
      </c>
      <c r="I270" s="7">
        <v>15.946076606260885</v>
      </c>
      <c r="J270" s="9">
        <v>15.685781423557144</v>
      </c>
      <c r="K270" s="19">
        <v>14.91209327987093</v>
      </c>
      <c r="L270" s="20">
        <v>-1.49572942951628E-2</v>
      </c>
      <c r="M270" s="52">
        <v>0.158</v>
      </c>
      <c r="N270" s="53">
        <v>0.13500000000000001</v>
      </c>
      <c r="O270" s="56">
        <v>0.1454261589050293</v>
      </c>
      <c r="P270" s="52"/>
      <c r="Q270" s="58"/>
    </row>
    <row r="271" spans="1:17" ht="14.4" x14ac:dyDescent="0.3">
      <c r="B271" s="11">
        <f t="shared" si="22"/>
        <v>5</v>
      </c>
      <c r="C271" s="52">
        <v>9.5970077514648436E-2</v>
      </c>
      <c r="D271" s="53">
        <v>9.7485952377319329E-2</v>
      </c>
      <c r="E271" s="53">
        <v>8.9994640350341798E-2</v>
      </c>
      <c r="F271" s="53">
        <v>9.2761211395263665E-2</v>
      </c>
      <c r="G271" s="53">
        <v>0.09</v>
      </c>
      <c r="H271" s="54">
        <f t="shared" si="24"/>
        <v>9.4052970409393297E-2</v>
      </c>
      <c r="I271" s="7">
        <v>16.236016203012092</v>
      </c>
      <c r="J271" s="9">
        <v>16.200938258943154</v>
      </c>
      <c r="K271" s="19">
        <v>15.293920459172107</v>
      </c>
      <c r="L271" s="20">
        <v>0.18466266878083601</v>
      </c>
      <c r="M271" s="52">
        <v>0.16200000000000001</v>
      </c>
      <c r="N271" s="53">
        <v>0.14599999999999999</v>
      </c>
      <c r="O271" s="56">
        <v>0.16108766555786133</v>
      </c>
      <c r="P271" s="52"/>
      <c r="Q271" s="58"/>
    </row>
    <row r="272" spans="1:17" ht="14.4" x14ac:dyDescent="0.3">
      <c r="B272" s="11">
        <f t="shared" ref="B272:B300" si="29">B260</f>
        <v>6</v>
      </c>
      <c r="C272" s="52">
        <v>0.10714037895202637</v>
      </c>
      <c r="D272" s="53">
        <v>9.8004665374755856E-2</v>
      </c>
      <c r="E272" s="53">
        <v>0.10030426979064941</v>
      </c>
      <c r="F272" s="53">
        <v>9.813380241394043E-2</v>
      </c>
      <c r="G272" s="53">
        <v>0.1</v>
      </c>
      <c r="H272" s="54">
        <f t="shared" si="24"/>
        <v>0.10089577913284301</v>
      </c>
      <c r="I272" s="7">
        <v>16.946236554332362</v>
      </c>
      <c r="J272" s="9">
        <v>16.591769171525584</v>
      </c>
      <c r="K272" s="19">
        <v>14.994154633355761</v>
      </c>
      <c r="L272" s="20">
        <v>0.17530805977082101</v>
      </c>
      <c r="M272" s="52">
        <v>0.16899999999999998</v>
      </c>
      <c r="N272" s="53">
        <v>0.14599999999999999</v>
      </c>
      <c r="O272" s="56">
        <v>0.16374195098876954</v>
      </c>
      <c r="P272" s="52"/>
      <c r="Q272" s="58"/>
    </row>
    <row r="273" spans="1:17" ht="14.4" x14ac:dyDescent="0.3">
      <c r="B273" s="11">
        <f t="shared" si="29"/>
        <v>7</v>
      </c>
      <c r="C273" s="52">
        <v>0.10693135261535644</v>
      </c>
      <c r="D273" s="53">
        <v>9.8544054031372064E-2</v>
      </c>
      <c r="E273" s="53">
        <v>9.9994640350341793E-2</v>
      </c>
      <c r="F273" s="53">
        <v>9.3625202178955078E-2</v>
      </c>
      <c r="G273" s="53">
        <v>0.1</v>
      </c>
      <c r="H273" s="54">
        <f t="shared" si="24"/>
        <v>9.977381229400635E-2</v>
      </c>
      <c r="I273" s="7">
        <v>16.449356455983221</v>
      </c>
      <c r="J273" s="9">
        <v>15.811378458786729</v>
      </c>
      <c r="K273" s="19">
        <v>15.586812870754363</v>
      </c>
      <c r="L273" s="20">
        <v>-1.6900748265631E-3</v>
      </c>
      <c r="M273" s="52">
        <v>0.16399999999999998</v>
      </c>
      <c r="N273" s="53">
        <v>0.14599999999999999</v>
      </c>
      <c r="O273" s="56">
        <v>0.16453733444213867</v>
      </c>
      <c r="P273" s="52"/>
      <c r="Q273" s="58"/>
    </row>
    <row r="274" spans="1:17" ht="14.4" x14ac:dyDescent="0.3">
      <c r="B274" s="11">
        <f t="shared" si="29"/>
        <v>8</v>
      </c>
      <c r="C274" s="52">
        <v>0.10650324821472168</v>
      </c>
      <c r="D274" s="53">
        <v>9.9101371765136725E-2</v>
      </c>
      <c r="E274" s="53">
        <v>9.9994640350341793E-2</v>
      </c>
      <c r="F274" s="53">
        <v>8.9307689666748041E-2</v>
      </c>
      <c r="G274" s="53">
        <v>0.1</v>
      </c>
      <c r="H274" s="54">
        <f t="shared" si="24"/>
        <v>9.8726737499237049E-2</v>
      </c>
      <c r="I274" s="7">
        <v>14.425809606880847</v>
      </c>
      <c r="J274" s="9">
        <v>14.838744908253299</v>
      </c>
      <c r="K274" s="19">
        <v>15.13639405226006</v>
      </c>
      <c r="L274" s="20">
        <v>-4.8544346503967203E-2</v>
      </c>
      <c r="M274" s="52">
        <v>0.14400000000000002</v>
      </c>
      <c r="N274" s="53">
        <v>0.15</v>
      </c>
      <c r="O274" s="56">
        <v>0.16659397125244141</v>
      </c>
      <c r="P274" s="52"/>
      <c r="Q274" s="58"/>
    </row>
    <row r="275" spans="1:17" ht="14.4" x14ac:dyDescent="0.3">
      <c r="B275" s="11">
        <f t="shared" si="29"/>
        <v>9</v>
      </c>
      <c r="C275" s="52">
        <v>0.1261740207672119</v>
      </c>
      <c r="D275" s="53">
        <v>9.9673862457275386E-2</v>
      </c>
      <c r="E275" s="53">
        <v>0.12061389923095703</v>
      </c>
      <c r="F275" s="53">
        <v>0.10524641990661621</v>
      </c>
      <c r="G275" s="53">
        <v>0.12</v>
      </c>
      <c r="H275" s="54">
        <f t="shared" si="24"/>
        <v>0.11292705059051514</v>
      </c>
      <c r="I275" s="7">
        <v>13.826953899939888</v>
      </c>
      <c r="J275" s="9">
        <v>14.02941851155366</v>
      </c>
      <c r="K275" s="19">
        <v>14.641259183230959</v>
      </c>
      <c r="L275" s="20">
        <v>8.5681004676819605E-2</v>
      </c>
      <c r="M275" s="52">
        <v>0.13800000000000001</v>
      </c>
      <c r="N275" s="53">
        <v>0.13500000000000001</v>
      </c>
      <c r="O275" s="56">
        <v>0.15211070060729981</v>
      </c>
      <c r="P275" s="52"/>
      <c r="Q275" s="58"/>
    </row>
    <row r="276" spans="1:17" ht="14.4" x14ac:dyDescent="0.3">
      <c r="B276" s="11">
        <f t="shared" si="29"/>
        <v>10</v>
      </c>
      <c r="C276" s="52">
        <v>0.1268775749206543</v>
      </c>
      <c r="D276" s="53">
        <v>0.10025880813598632</v>
      </c>
      <c r="E276" s="53">
        <v>0.1199946403503418</v>
      </c>
      <c r="F276" s="53">
        <v>0.10149998664855957</v>
      </c>
      <c r="G276" s="53">
        <v>0.12</v>
      </c>
      <c r="H276" s="54">
        <f t="shared" si="24"/>
        <v>0.1121577525138855</v>
      </c>
      <c r="I276" s="7">
        <v>14.463490540997515</v>
      </c>
      <c r="J276" s="9">
        <v>14.627769744199881</v>
      </c>
      <c r="K276" s="19">
        <v>14.708758217038032</v>
      </c>
      <c r="L276" s="20">
        <v>-3.11070164459906E-2</v>
      </c>
      <c r="M276" s="52">
        <v>0.14499999999999999</v>
      </c>
      <c r="N276" s="53">
        <v>0.129</v>
      </c>
      <c r="O276" s="56">
        <v>0.14170268058776855</v>
      </c>
      <c r="P276" s="52"/>
      <c r="Q276" s="58"/>
    </row>
    <row r="277" spans="1:17" ht="14.4" x14ac:dyDescent="0.3">
      <c r="B277" s="11">
        <f t="shared" si="29"/>
        <v>11</v>
      </c>
      <c r="C277" s="52">
        <v>0.12814850807189943</v>
      </c>
      <c r="D277" s="53">
        <v>0.10085363388061523</v>
      </c>
      <c r="E277" s="53">
        <v>0.1199946403503418</v>
      </c>
      <c r="F277" s="53">
        <v>9.81209945678711E-2</v>
      </c>
      <c r="G277" s="53">
        <v>0.12</v>
      </c>
      <c r="H277" s="54">
        <f t="shared" si="24"/>
        <v>0.11177944421768189</v>
      </c>
      <c r="I277" s="7">
        <v>14.547442070417738</v>
      </c>
      <c r="J277" s="10">
        <v>14.541223929437109</v>
      </c>
      <c r="K277" s="19">
        <v>15.335135996513749</v>
      </c>
      <c r="L277" s="20">
        <v>-0.195571223453021</v>
      </c>
      <c r="M277" s="52">
        <v>0.14499999999999999</v>
      </c>
      <c r="N277" s="53">
        <v>0.13200000000000001</v>
      </c>
      <c r="O277" s="56">
        <v>0.14423989295959472</v>
      </c>
      <c r="P277" s="52"/>
      <c r="Q277" s="58"/>
    </row>
    <row r="278" spans="1:17" ht="14.4" x14ac:dyDescent="0.3">
      <c r="B278" s="11">
        <f t="shared" si="29"/>
        <v>12</v>
      </c>
      <c r="C278" s="52">
        <v>0.13885704040527344</v>
      </c>
      <c r="D278" s="53">
        <v>0.10145590782165527</v>
      </c>
      <c r="E278" s="53">
        <v>0.13030426979064941</v>
      </c>
      <c r="F278" s="53">
        <v>0.10515668869018555</v>
      </c>
      <c r="G278" s="53">
        <v>0.13</v>
      </c>
      <c r="H278" s="54">
        <f t="shared" si="24"/>
        <v>0.11894347667694091</v>
      </c>
      <c r="I278" s="7">
        <v>13.243321323966995</v>
      </c>
      <c r="J278" s="10">
        <v>12.859791818843757</v>
      </c>
      <c r="K278" s="19">
        <v>13.450269743911903</v>
      </c>
      <c r="L278" s="20">
        <v>-0.200710853317387</v>
      </c>
      <c r="M278" s="52">
        <v>0.13200000000000001</v>
      </c>
      <c r="N278" s="53">
        <v>0.122</v>
      </c>
      <c r="O278" s="56">
        <v>0.13190189361572266</v>
      </c>
      <c r="P278" s="52"/>
      <c r="Q278" s="58"/>
    </row>
    <row r="279" spans="1:17" ht="14.4" x14ac:dyDescent="0.3">
      <c r="A279" s="11">
        <f t="shared" ref="A279" si="30">A267+1</f>
        <v>2023</v>
      </c>
      <c r="B279" s="11">
        <f t="shared" si="29"/>
        <v>1</v>
      </c>
      <c r="C279" s="52">
        <v>0.1379694938659668</v>
      </c>
      <c r="D279" s="53">
        <v>0.1020633602142334</v>
      </c>
      <c r="E279" s="53">
        <v>0.12999464035034181</v>
      </c>
      <c r="F279" s="53">
        <v>0.10264933586120606</v>
      </c>
      <c r="G279" s="53">
        <v>0.13</v>
      </c>
      <c r="H279" s="54">
        <f t="shared" si="24"/>
        <v>0.11816920757293702</v>
      </c>
      <c r="I279" s="7">
        <v>12.331917873203935</v>
      </c>
      <c r="J279" s="10">
        <v>11.986477043120436</v>
      </c>
      <c r="K279" s="19">
        <v>12.968109793387338</v>
      </c>
      <c r="L279" s="20">
        <v>0.21868049501804401</v>
      </c>
      <c r="M279" s="52">
        <v>0.12300000000000001</v>
      </c>
      <c r="N279" s="53">
        <v>0.12</v>
      </c>
      <c r="O279" s="56">
        <v>0.1201844882965088</v>
      </c>
      <c r="P279" s="52"/>
      <c r="Q279" s="58"/>
    </row>
    <row r="280" spans="1:17" ht="14.4" x14ac:dyDescent="0.3">
      <c r="B280" s="11">
        <f t="shared" si="29"/>
        <v>2</v>
      </c>
      <c r="C280" s="52">
        <v>0.13695569992065429</v>
      </c>
      <c r="D280" s="53">
        <v>0.10267394065856933</v>
      </c>
      <c r="E280" s="53">
        <v>0.12999464035034181</v>
      </c>
      <c r="F280" s="53">
        <v>0.10063626289367676</v>
      </c>
      <c r="G280" s="53">
        <v>0.13</v>
      </c>
      <c r="H280" s="54">
        <f t="shared" si="24"/>
        <v>0.11756513595581056</v>
      </c>
      <c r="I280" s="7">
        <v>12.184532047577612</v>
      </c>
      <c r="J280" s="10">
        <v>12.066453769609442</v>
      </c>
      <c r="K280" s="19">
        <v>12.641224539028762</v>
      </c>
      <c r="L280" s="20">
        <v>0.39972179834709698</v>
      </c>
      <c r="M280" s="52">
        <v>0.122</v>
      </c>
      <c r="N280" s="53">
        <v>0.114</v>
      </c>
      <c r="O280" s="56">
        <v>0.11816001892089843</v>
      </c>
      <c r="P280" s="52"/>
      <c r="Q280" s="58"/>
    </row>
    <row r="281" spans="1:17" ht="14.4" x14ac:dyDescent="0.3">
      <c r="B281" s="11">
        <f t="shared" si="29"/>
        <v>3</v>
      </c>
      <c r="C281" s="52">
        <v>0.13634150505065917</v>
      </c>
      <c r="D281" s="53">
        <v>0.10328579902648925</v>
      </c>
      <c r="E281" s="53">
        <v>0.12999464035034181</v>
      </c>
      <c r="F281" s="53">
        <v>9.9149465560913086E-2</v>
      </c>
      <c r="G281" s="53">
        <v>0.13</v>
      </c>
      <c r="H281" s="54">
        <f t="shared" si="24"/>
        <v>0.11719285249710083</v>
      </c>
      <c r="I281" s="7">
        <v>12.233205886118647</v>
      </c>
      <c r="J281" s="10">
        <v>12.109492765387774</v>
      </c>
      <c r="K281" s="19">
        <v>13.082889879039605</v>
      </c>
      <c r="L281" s="20">
        <v>8.5349551218269794E-3</v>
      </c>
      <c r="M281" s="52">
        <v>0.122</v>
      </c>
      <c r="N281" s="53">
        <v>0.113</v>
      </c>
      <c r="O281" s="56">
        <v>0.11987103462219238</v>
      </c>
      <c r="P281" s="52"/>
      <c r="Q281" s="58"/>
    </row>
    <row r="282" spans="1:17" ht="14.4" x14ac:dyDescent="0.3">
      <c r="B282" s="11">
        <f t="shared" si="29"/>
        <v>4</v>
      </c>
      <c r="C282" s="52">
        <v>0.13421722412109374</v>
      </c>
      <c r="D282" s="53">
        <v>0.10389730453491211</v>
      </c>
      <c r="E282" s="53">
        <v>0.12999464035034181</v>
      </c>
      <c r="F282" s="53">
        <v>9.8214778900146488E-2</v>
      </c>
      <c r="G282" s="53">
        <v>0.13</v>
      </c>
      <c r="H282" s="54">
        <f t="shared" si="24"/>
        <v>0.11658098697662353</v>
      </c>
      <c r="I282" s="7">
        <v>11.160132849423787</v>
      </c>
      <c r="J282" s="10">
        <v>10.883467141254833</v>
      </c>
      <c r="K282" s="19">
        <v>12.421741242570207</v>
      </c>
      <c r="L282" s="20">
        <v>-0.15288229288427799</v>
      </c>
      <c r="M282" s="52">
        <v>0.113</v>
      </c>
      <c r="N282" s="53">
        <v>0.1</v>
      </c>
      <c r="O282" s="56">
        <v>0.10374672889709473</v>
      </c>
      <c r="P282" s="52"/>
      <c r="Q282" s="58"/>
    </row>
    <row r="283" spans="1:17" ht="14.4" x14ac:dyDescent="0.3">
      <c r="B283" s="11">
        <f t="shared" si="29"/>
        <v>5</v>
      </c>
      <c r="C283" s="52">
        <v>0.1318490982055664</v>
      </c>
      <c r="D283" s="53">
        <v>0.10450704574584961</v>
      </c>
      <c r="E283" s="53">
        <v>0.12999464035034181</v>
      </c>
      <c r="F283" s="53">
        <v>9.7850608825683597E-2</v>
      </c>
      <c r="G283" s="53">
        <v>0.13</v>
      </c>
      <c r="H283" s="54">
        <f t="shared" si="24"/>
        <v>0.11605034828186035</v>
      </c>
      <c r="I283" s="7">
        <v>11.29345742640162</v>
      </c>
      <c r="J283" s="10">
        <v>10.812625359823125</v>
      </c>
      <c r="K283" s="19">
        <v>11.783799266674055</v>
      </c>
      <c r="L283" s="20">
        <v>-0.234862403312738</v>
      </c>
      <c r="M283" s="52">
        <v>0.113</v>
      </c>
      <c r="N283" s="53">
        <v>9.8000000000000004E-2</v>
      </c>
      <c r="O283" s="56">
        <v>0.10391422271728516</v>
      </c>
      <c r="P283" s="52"/>
      <c r="Q283" s="58"/>
    </row>
    <row r="284" spans="1:17" ht="14.4" x14ac:dyDescent="0.3">
      <c r="B284" s="11">
        <f t="shared" si="29"/>
        <v>6</v>
      </c>
      <c r="C284" s="52">
        <v>0.12913421630859376</v>
      </c>
      <c r="D284" s="53">
        <v>0.10511380195617676</v>
      </c>
      <c r="E284" s="53">
        <v>0.12999464035034181</v>
      </c>
      <c r="F284" s="53">
        <v>9.8066310882568355E-2</v>
      </c>
      <c r="G284" s="53">
        <v>0.13</v>
      </c>
      <c r="H284" s="54">
        <f t="shared" si="24"/>
        <v>0.11557724237442016</v>
      </c>
      <c r="I284" s="7">
        <v>10.64384365003994</v>
      </c>
      <c r="J284" s="10">
        <v>10.429833677384526</v>
      </c>
      <c r="K284" s="19">
        <v>11.343027411046558</v>
      </c>
      <c r="L284" s="20">
        <v>-0.20436214687708301</v>
      </c>
      <c r="M284" s="52">
        <v>0.106</v>
      </c>
      <c r="N284" s="53">
        <v>9.0999999999999998E-2</v>
      </c>
      <c r="O284" s="56">
        <v>9.8583478927612309E-2</v>
      </c>
      <c r="P284" s="52"/>
      <c r="Q284" s="58"/>
    </row>
    <row r="285" spans="1:17" ht="14.4" x14ac:dyDescent="0.3">
      <c r="B285" s="11">
        <f t="shared" si="29"/>
        <v>7</v>
      </c>
      <c r="C285" s="52">
        <v>0.12860864639282227</v>
      </c>
      <c r="D285" s="53">
        <v>0.10571653366088868</v>
      </c>
      <c r="E285" s="53">
        <v>0.12999464035034181</v>
      </c>
      <c r="F285" s="53">
        <v>9.8860406875610346E-2</v>
      </c>
      <c r="G285" s="53">
        <v>0.13</v>
      </c>
      <c r="H285" s="54">
        <f t="shared" si="24"/>
        <v>0.11579505681991578</v>
      </c>
      <c r="I285" s="7">
        <v>9.1891224121650072</v>
      </c>
      <c r="J285" s="10">
        <v>9.4179012270157791</v>
      </c>
      <c r="K285" s="19">
        <v>11.237513891003804</v>
      </c>
      <c r="L285" s="20">
        <v>-5.5448572496282302E-2</v>
      </c>
      <c r="M285" s="52">
        <v>9.1999999999999998E-2</v>
      </c>
      <c r="N285" s="53">
        <v>8.6999999999999994E-2</v>
      </c>
      <c r="O285" s="56">
        <v>9.5965967178344727E-2</v>
      </c>
      <c r="P285" s="52"/>
      <c r="Q285" s="58"/>
    </row>
    <row r="286" spans="1:17" ht="14.4" x14ac:dyDescent="0.3">
      <c r="B286" s="11">
        <f t="shared" si="29"/>
        <v>8</v>
      </c>
      <c r="C286" s="52">
        <v>0.12804626464843749</v>
      </c>
      <c r="D286" s="53">
        <v>0.10631442070007324</v>
      </c>
      <c r="E286" s="53">
        <v>0.12999464035034181</v>
      </c>
      <c r="F286" s="53">
        <v>0.10021879196166993</v>
      </c>
      <c r="G286" s="53">
        <v>0.13</v>
      </c>
      <c r="H286" s="54">
        <f t="shared" si="24"/>
        <v>0.11614352941513062</v>
      </c>
      <c r="I286" s="7">
        <v>10.015672592001955</v>
      </c>
      <c r="J286" s="10">
        <v>10.014185153789356</v>
      </c>
      <c r="K286" s="19">
        <v>11.532903127346827</v>
      </c>
      <c r="L286" s="20">
        <v>2.97737569880712E-2</v>
      </c>
      <c r="M286" s="52">
        <v>0.1</v>
      </c>
      <c r="N286" s="53">
        <v>9.3000000000000013E-2</v>
      </c>
      <c r="O286" s="56">
        <v>0.10124151229858398</v>
      </c>
      <c r="P286" s="52"/>
      <c r="Q286" s="58"/>
    </row>
    <row r="287" spans="1:17" ht="14.4" x14ac:dyDescent="0.3">
      <c r="B287" s="11">
        <f t="shared" si="29"/>
        <v>9</v>
      </c>
      <c r="C287" s="52">
        <v>0.12735541343688964</v>
      </c>
      <c r="D287" s="53">
        <v>0.10690681457519531</v>
      </c>
      <c r="E287" s="53">
        <v>0.12999464035034181</v>
      </c>
      <c r="F287" s="53">
        <v>0.10211309432983398</v>
      </c>
      <c r="G287" s="53">
        <v>0.13</v>
      </c>
      <c r="H287" s="54">
        <f t="shared" si="24"/>
        <v>0.11659249067306518</v>
      </c>
      <c r="I287" s="7">
        <v>10.060467561619134</v>
      </c>
      <c r="J287" s="10">
        <v>10.241309150999811</v>
      </c>
      <c r="K287" s="19">
        <v>11.325856243134336</v>
      </c>
      <c r="L287" s="20">
        <v>7.0840702584376802E-2</v>
      </c>
      <c r="M287" s="52">
        <v>0.10099999999999999</v>
      </c>
      <c r="N287" s="53">
        <v>9.1999999999999998E-2</v>
      </c>
      <c r="O287" s="56">
        <v>0.10250795364379883</v>
      </c>
      <c r="P287" s="52"/>
      <c r="Q287" s="58"/>
    </row>
    <row r="288" spans="1:17" ht="14.4" x14ac:dyDescent="0.3">
      <c r="B288" s="11">
        <f t="shared" si="29"/>
        <v>10</v>
      </c>
      <c r="C288" s="52">
        <v>0.1267733383178711</v>
      </c>
      <c r="D288" s="53">
        <v>0.10749325752258301</v>
      </c>
      <c r="E288" s="53">
        <v>0.12999464035034181</v>
      </c>
      <c r="F288" s="53">
        <v>0.10449958801269531</v>
      </c>
      <c r="G288" s="53">
        <v>0.13</v>
      </c>
      <c r="H288" s="54">
        <f t="shared" si="24"/>
        <v>0.11719020605087281</v>
      </c>
      <c r="I288" s="7">
        <v>8.958697461292676</v>
      </c>
      <c r="J288" s="10">
        <v>9.4130932413412971</v>
      </c>
      <c r="K288" s="19">
        <v>10.416555857809762</v>
      </c>
      <c r="L288" s="20">
        <v>7.9625896688067493E-2</v>
      </c>
      <c r="M288" s="52">
        <v>0.09</v>
      </c>
      <c r="N288" s="53">
        <v>8.1000000000000003E-2</v>
      </c>
      <c r="O288" s="56">
        <v>8.5574455261230475E-2</v>
      </c>
      <c r="P288" s="52"/>
      <c r="Q288" s="58"/>
    </row>
    <row r="289" spans="1:17" ht="14.4" x14ac:dyDescent="0.3">
      <c r="B289" s="11">
        <f t="shared" si="29"/>
        <v>11</v>
      </c>
      <c r="C289" s="52">
        <v>0.12728171348571776</v>
      </c>
      <c r="D289" s="53">
        <v>0.10807346343994141</v>
      </c>
      <c r="E289" s="53">
        <v>0.12999464035034181</v>
      </c>
      <c r="F289" s="53">
        <v>0.10731865882873536</v>
      </c>
      <c r="G289" s="53">
        <v>0.13</v>
      </c>
      <c r="H289" s="54">
        <f t="shared" si="24"/>
        <v>0.11816711902618408</v>
      </c>
      <c r="I289" s="7">
        <v>8.5842164229654969</v>
      </c>
      <c r="J289" s="10">
        <v>9.370120268511295</v>
      </c>
      <c r="K289" s="19">
        <v>9.6748375616830593</v>
      </c>
      <c r="L289" s="20">
        <v>0.112428236556568</v>
      </c>
      <c r="M289" s="52">
        <v>8.5999999999999993E-2</v>
      </c>
      <c r="N289" s="53">
        <v>7.2999999999999995E-2</v>
      </c>
      <c r="O289" s="56">
        <v>7.6266832351684577E-2</v>
      </c>
      <c r="P289" s="59"/>
      <c r="Q289" s="58"/>
    </row>
    <row r="290" spans="1:17" ht="14.4" x14ac:dyDescent="0.3">
      <c r="B290" s="11">
        <f t="shared" si="29"/>
        <v>12</v>
      </c>
      <c r="C290" s="52">
        <v>0.12724946022033692</v>
      </c>
      <c r="D290" s="53">
        <v>0.10864731788635254</v>
      </c>
      <c r="E290" s="53">
        <v>0.12999464035034181</v>
      </c>
      <c r="F290" s="53">
        <v>0.11049509048461914</v>
      </c>
      <c r="G290" s="53">
        <v>0.13</v>
      </c>
      <c r="H290" s="54">
        <f t="shared" si="24"/>
        <v>0.1190966272354126</v>
      </c>
      <c r="I290" s="7">
        <v>7.9239219970444807</v>
      </c>
      <c r="J290" s="10">
        <v>8.6288884805786772</v>
      </c>
      <c r="K290" s="19">
        <v>8.8503944597138062</v>
      </c>
      <c r="L290" s="20">
        <v>1.8457632378749099E-3</v>
      </c>
      <c r="M290" s="52">
        <v>7.9000000000000001E-2</v>
      </c>
      <c r="N290" s="53">
        <v>7.2000000000000008E-2</v>
      </c>
      <c r="O290" s="56">
        <v>7.4501190185546878E-2</v>
      </c>
      <c r="P290" s="52">
        <v>-1.7610843606055138E-3</v>
      </c>
      <c r="Q290" s="54">
        <v>2E-3</v>
      </c>
    </row>
    <row r="291" spans="1:17" ht="14.4" x14ac:dyDescent="0.3">
      <c r="A291" s="11">
        <f t="shared" ref="A291" si="31">A279+1</f>
        <v>2024</v>
      </c>
      <c r="B291" s="11">
        <f t="shared" si="29"/>
        <v>1</v>
      </c>
      <c r="C291" s="52">
        <v>0.1280270004272461</v>
      </c>
      <c r="D291" s="53">
        <v>0.1092148780822754</v>
      </c>
      <c r="E291" s="53">
        <v>0.12999464035034181</v>
      </c>
      <c r="F291" s="53">
        <v>0.11393937110900879</v>
      </c>
      <c r="G291" s="53">
        <v>0.13</v>
      </c>
      <c r="H291" s="54">
        <f t="shared" si="24"/>
        <v>0.12029397249221802</v>
      </c>
      <c r="I291" s="7">
        <v>6.7261549095261497</v>
      </c>
      <c r="J291" s="10">
        <v>7.2230110135489634</v>
      </c>
      <c r="K291" s="19">
        <v>7.0520326944553791</v>
      </c>
      <c r="L291" s="20">
        <v>7.62168238380517E-2</v>
      </c>
      <c r="M291" s="52">
        <v>6.7000000000000004E-2</v>
      </c>
      <c r="N291" s="53">
        <v>7.2000000000000008E-2</v>
      </c>
      <c r="O291" s="56">
        <v>6.4868440628051763E-2</v>
      </c>
      <c r="P291" s="52">
        <v>1.308551308963235E-3</v>
      </c>
      <c r="Q291" s="54">
        <v>6.0000000000000001E-3</v>
      </c>
    </row>
    <row r="292" spans="1:17" ht="14.4" x14ac:dyDescent="0.3">
      <c r="B292" s="11">
        <f t="shared" si="29"/>
        <v>2</v>
      </c>
      <c r="C292" s="52">
        <v>0.1279233455657959</v>
      </c>
      <c r="D292" s="53">
        <v>0.10977636337280273</v>
      </c>
      <c r="E292" s="53">
        <v>0.12999464035034181</v>
      </c>
      <c r="F292" s="53">
        <v>0.11755001068115234</v>
      </c>
      <c r="G292" s="53">
        <v>0.13</v>
      </c>
      <c r="H292" s="54">
        <f t="shared" ref="H292:H311" si="32">AVERAGE(C292:F292)</f>
        <v>0.1213110899925232</v>
      </c>
      <c r="I292" s="7">
        <v>6.2539160149069462</v>
      </c>
      <c r="J292" s="10">
        <v>6.335212472200058</v>
      </c>
      <c r="K292" s="19">
        <v>6.4547811661381571</v>
      </c>
      <c r="L292" s="20">
        <v>1.1864747698560601E-3</v>
      </c>
      <c r="M292" s="52">
        <v>6.3E-2</v>
      </c>
      <c r="N292" s="53">
        <v>6.3E-2</v>
      </c>
      <c r="O292" s="56">
        <v>6.1097383499145508E-2</v>
      </c>
      <c r="P292" s="52">
        <v>7.6509600794416599E-4</v>
      </c>
      <c r="Q292" s="54">
        <v>5.0000000000000001E-3</v>
      </c>
    </row>
    <row r="293" spans="1:17" ht="14.4" x14ac:dyDescent="0.3">
      <c r="B293" s="11">
        <f t="shared" si="29"/>
        <v>3</v>
      </c>
      <c r="C293" s="52">
        <v>0.11744017601013183</v>
      </c>
      <c r="D293" s="53">
        <v>0.11033217430114746</v>
      </c>
      <c r="E293" s="53">
        <v>0.11968501091003418</v>
      </c>
      <c r="F293" s="53">
        <v>0.11121679306030273</v>
      </c>
      <c r="G293" s="53">
        <v>0.12</v>
      </c>
      <c r="H293" s="54">
        <f t="shared" si="32"/>
        <v>0.11466853857040406</v>
      </c>
      <c r="I293" s="7">
        <v>6.1759547550654936</v>
      </c>
      <c r="J293" s="10">
        <v>6.007850140971871</v>
      </c>
      <c r="K293" s="19">
        <v>6.3711621927575068</v>
      </c>
      <c r="L293" s="20">
        <v>4.17422846886109E-3</v>
      </c>
      <c r="M293" s="52">
        <v>6.2E-2</v>
      </c>
      <c r="N293" s="53">
        <v>5.9000000000000004E-2</v>
      </c>
      <c r="O293" s="56">
        <v>5.8052692413330081E-2</v>
      </c>
      <c r="P293" s="52">
        <v>1.8039237972842237E-3</v>
      </c>
      <c r="Q293" s="54">
        <v>6.0000000000000001E-3</v>
      </c>
    </row>
    <row r="294" spans="1:17" ht="14.4" x14ac:dyDescent="0.3">
      <c r="B294" s="11">
        <f t="shared" si="29"/>
        <v>4</v>
      </c>
      <c r="C294" s="52">
        <v>0.11753813743591308</v>
      </c>
      <c r="D294" s="53">
        <v>0.11088284492492675</v>
      </c>
      <c r="E294" s="53">
        <v>0.1199946403503418</v>
      </c>
      <c r="F294" s="53">
        <v>0.11482503890991211</v>
      </c>
      <c r="G294" s="53">
        <v>0.12</v>
      </c>
      <c r="H294" s="54">
        <f t="shared" si="32"/>
        <v>0.11581016540527345</v>
      </c>
      <c r="I294" s="7">
        <v>5.7161185395243841</v>
      </c>
      <c r="J294" s="10">
        <v>5.1636260815420165</v>
      </c>
      <c r="K294" s="19">
        <v>5.5776975668828221</v>
      </c>
      <c r="L294" s="20">
        <v>0.14542817718039799</v>
      </c>
      <c r="M294" s="52">
        <v>5.7000000000000002E-2</v>
      </c>
      <c r="N294" s="53">
        <v>5.5999999999999994E-2</v>
      </c>
      <c r="O294" s="56">
        <v>5.340123176574707E-2</v>
      </c>
      <c r="P294" s="52">
        <v>1.0724424324981552E-3</v>
      </c>
      <c r="Q294" s="54">
        <v>5.0000000000000001E-3</v>
      </c>
    </row>
    <row r="295" spans="1:17" ht="14.4" x14ac:dyDescent="0.3">
      <c r="B295" s="11">
        <f t="shared" si="29"/>
        <v>5</v>
      </c>
      <c r="C295" s="52">
        <v>0.10736993789672851</v>
      </c>
      <c r="D295" s="53">
        <v>0.11142897605895996</v>
      </c>
      <c r="E295" s="53">
        <v>0.10968501091003419</v>
      </c>
      <c r="F295" s="53">
        <v>0.108260498046875</v>
      </c>
      <c r="G295" s="53">
        <v>0.11</v>
      </c>
      <c r="H295" s="54">
        <f t="shared" si="32"/>
        <v>0.10918610572814941</v>
      </c>
      <c r="I295" s="7">
        <v>5.1258653805263066</v>
      </c>
      <c r="J295" s="10">
        <v>4.6970850342257009</v>
      </c>
      <c r="K295" s="19">
        <v>5.0471708748075272</v>
      </c>
      <c r="L295" s="20">
        <v>-3.9231787330782399E-2</v>
      </c>
      <c r="M295" s="52">
        <v>5.0999999999999997E-2</v>
      </c>
      <c r="N295" s="53">
        <v>0.05</v>
      </c>
      <c r="O295" s="56">
        <v>4.9571232795715334E-2</v>
      </c>
      <c r="P295" s="52">
        <v>1.8660088367468131E-3</v>
      </c>
      <c r="Q295" s="54">
        <v>5.0000000000000001E-3</v>
      </c>
    </row>
    <row r="296" spans="1:17" ht="14.4" x14ac:dyDescent="0.3">
      <c r="B296" s="11">
        <f t="shared" si="29"/>
        <v>6</v>
      </c>
      <c r="C296" s="52">
        <v>0.10817482948303223</v>
      </c>
      <c r="D296" s="53">
        <v>0.11197127342224121</v>
      </c>
      <c r="E296" s="53">
        <v>0.1099946403503418</v>
      </c>
      <c r="F296" s="53">
        <v>0.11141472816467285</v>
      </c>
      <c r="G296" s="53">
        <v>0.11</v>
      </c>
      <c r="H296" s="54">
        <f t="shared" si="32"/>
        <v>0.11038886785507201</v>
      </c>
      <c r="I296" s="7">
        <v>4.5776346174031479</v>
      </c>
      <c r="J296" s="10">
        <v>3.9748303302413301</v>
      </c>
      <c r="K296" s="19">
        <v>4.9366649147851493</v>
      </c>
      <c r="L296" s="20">
        <v>-4.7099699154892198E-2</v>
      </c>
      <c r="M296" s="52">
        <v>4.5999999999999999E-2</v>
      </c>
      <c r="N296" s="53">
        <v>4.4000000000000004E-2</v>
      </c>
      <c r="O296" s="56">
        <v>4.6714286804199222E-2</v>
      </c>
      <c r="P296" s="52">
        <v>1.6171418881447686E-3</v>
      </c>
      <c r="Q296" s="54">
        <v>3.0000000000000001E-3</v>
      </c>
    </row>
    <row r="297" spans="1:17" ht="14.4" x14ac:dyDescent="0.3">
      <c r="B297" s="11">
        <f t="shared" si="29"/>
        <v>7</v>
      </c>
      <c r="C297" s="52">
        <v>0.10890156745910645</v>
      </c>
      <c r="D297" s="53">
        <v>0.11251038551330567</v>
      </c>
      <c r="E297" s="53">
        <v>0.1099946403503418</v>
      </c>
      <c r="F297" s="53">
        <v>0.11419058799743652</v>
      </c>
      <c r="G297" s="53">
        <v>0.11</v>
      </c>
      <c r="H297" s="54">
        <f t="shared" si="32"/>
        <v>0.11139929533004761</v>
      </c>
      <c r="I297" s="7">
        <v>5.0893479627195815</v>
      </c>
      <c r="J297" s="10">
        <v>4.4096555517565861</v>
      </c>
      <c r="K297" s="19">
        <v>5.0074721553263091</v>
      </c>
      <c r="L297" s="20">
        <v>4.2887888994936299E-2</v>
      </c>
      <c r="M297" s="52">
        <v>5.0999999999999997E-2</v>
      </c>
      <c r="N297" s="53">
        <v>5.2000000000000005E-2</v>
      </c>
      <c r="O297" s="56">
        <v>5.636764049530029E-2</v>
      </c>
      <c r="P297" s="52">
        <v>-4.6257869924737349E-5</v>
      </c>
      <c r="Q297" s="54">
        <v>0</v>
      </c>
    </row>
    <row r="298" spans="1:17" ht="14.4" x14ac:dyDescent="0.3">
      <c r="B298" s="11">
        <f t="shared" si="29"/>
        <v>8</v>
      </c>
      <c r="C298" s="52">
        <v>0.10947909355163574</v>
      </c>
      <c r="D298" s="53">
        <v>0.11304699897766113</v>
      </c>
      <c r="E298" s="53">
        <v>0.1099946403503418</v>
      </c>
      <c r="F298" s="53">
        <v>0.11650746345520019</v>
      </c>
      <c r="G298" s="53">
        <v>0.11</v>
      </c>
      <c r="H298" s="54">
        <f t="shared" si="32"/>
        <v>0.11225704908370972</v>
      </c>
      <c r="I298" s="7">
        <v>6.1338374109629612</v>
      </c>
      <c r="J298" s="10">
        <v>5.7585164916863496</v>
      </c>
      <c r="K298" s="19">
        <v>5.9974499768206568</v>
      </c>
      <c r="L298" s="20">
        <v>-9.1842140898546806E-3</v>
      </c>
      <c r="M298" s="52">
        <v>6.0999999999999999E-2</v>
      </c>
      <c r="N298" s="53">
        <v>5.5E-2</v>
      </c>
      <c r="O298" s="56">
        <v>5.7696204185485843E-2</v>
      </c>
      <c r="P298" s="52">
        <v>1.6590950361341505E-3</v>
      </c>
      <c r="Q298" s="54">
        <v>1.7000000000000001E-2</v>
      </c>
    </row>
    <row r="299" spans="1:17" ht="14.4" x14ac:dyDescent="0.3">
      <c r="B299" s="11">
        <f t="shared" si="29"/>
        <v>9</v>
      </c>
      <c r="C299" s="52">
        <v>9.9814281463623047E-2</v>
      </c>
      <c r="D299" s="53">
        <v>0.11358173370361328</v>
      </c>
      <c r="E299" s="53">
        <v>9.9685010910034177E-2</v>
      </c>
      <c r="F299" s="53">
        <v>0.1083059024810791</v>
      </c>
      <c r="G299" s="53">
        <v>0.1</v>
      </c>
      <c r="H299" s="54">
        <f t="shared" si="32"/>
        <v>0.1053467321395874</v>
      </c>
      <c r="I299" s="7">
        <v>6.3325277002357572</v>
      </c>
      <c r="J299" s="10">
        <v>5.9908001168826663</v>
      </c>
      <c r="K299" s="19">
        <v>6.2312494324006318</v>
      </c>
      <c r="L299" s="20">
        <v>2.2508254750787499E-3</v>
      </c>
      <c r="M299" s="52">
        <v>6.3E-2</v>
      </c>
      <c r="N299" s="53">
        <v>6.4000000000000001E-2</v>
      </c>
      <c r="O299" s="56">
        <v>7.0804781913757331E-2</v>
      </c>
      <c r="P299" s="52">
        <v>5.5197902396608711E-5</v>
      </c>
      <c r="Q299" s="54">
        <v>0</v>
      </c>
    </row>
    <row r="300" spans="1:17" ht="14.4" x14ac:dyDescent="0.3">
      <c r="B300" s="11">
        <f t="shared" si="29"/>
        <v>10</v>
      </c>
      <c r="C300" s="52">
        <v>9.8684568405151371E-2</v>
      </c>
      <c r="D300" s="53">
        <v>0.11411520957946777</v>
      </c>
      <c r="E300" s="53">
        <v>9.9994640350341793E-2</v>
      </c>
      <c r="F300" s="53">
        <v>0.1095511245727539</v>
      </c>
      <c r="G300" s="53">
        <v>0.1</v>
      </c>
      <c r="H300" s="54">
        <f t="shared" si="32"/>
        <v>0.1055863857269287</v>
      </c>
      <c r="I300" s="7">
        <v>6.5745002274041342</v>
      </c>
      <c r="J300" s="10">
        <v>6.3915015791770946</v>
      </c>
      <c r="K300" s="19">
        <v>6.7116310897677334</v>
      </c>
      <c r="L300" s="20">
        <v>8.6416727700131396E-2</v>
      </c>
      <c r="M300" s="52">
        <v>6.6000000000000003E-2</v>
      </c>
      <c r="N300" s="53">
        <v>6.4000000000000001E-2</v>
      </c>
      <c r="O300" s="56">
        <v>6.7622299194335933E-2</v>
      </c>
      <c r="P300" s="52">
        <v>3.0200882029636222E-3</v>
      </c>
      <c r="Q300" s="54">
        <v>6.0000000000000001E-3</v>
      </c>
    </row>
    <row r="301" spans="1:17" ht="14.4" x14ac:dyDescent="0.3">
      <c r="B301" s="11">
        <f>B289</f>
        <v>11</v>
      </c>
      <c r="C301" s="52">
        <v>9.6432571411132817E-2</v>
      </c>
      <c r="D301" s="53">
        <v>0.11464793205261231</v>
      </c>
      <c r="E301" s="53">
        <v>9.9994640350341793E-2</v>
      </c>
      <c r="F301" s="53">
        <v>0.11023535728454589</v>
      </c>
      <c r="G301" s="53">
        <v>0.1</v>
      </c>
      <c r="H301" s="54">
        <f t="shared" si="32"/>
        <v>0.10532762527465819</v>
      </c>
      <c r="I301" s="7">
        <v>7.4058345213378951</v>
      </c>
      <c r="J301" s="10">
        <v>7.1430601034489394</v>
      </c>
      <c r="K301" s="19">
        <v>6.5344234171156534</v>
      </c>
      <c r="L301" s="20">
        <v>8.2848590118894699E-2</v>
      </c>
      <c r="M301" s="52">
        <v>7.400000000000001E-2</v>
      </c>
      <c r="N301" s="53">
        <v>6.2E-2</v>
      </c>
      <c r="O301" s="56">
        <v>6.4298677444458011E-2</v>
      </c>
      <c r="P301" s="52">
        <v>4.1277924957314749E-3</v>
      </c>
      <c r="Q301" s="54">
        <v>1.4999999999999999E-2</v>
      </c>
    </row>
    <row r="302" spans="1:17" ht="14.4" x14ac:dyDescent="0.3">
      <c r="B302" s="11">
        <f t="shared" ref="B302:B314" si="33">B290</f>
        <v>12</v>
      </c>
      <c r="C302" s="52">
        <v>9.4947929382324214E-2</v>
      </c>
      <c r="D302" s="53">
        <v>0.1151803207397461</v>
      </c>
      <c r="E302" s="53">
        <v>9.9994640350341793E-2</v>
      </c>
      <c r="F302" s="53">
        <v>0.11037849426269532</v>
      </c>
      <c r="G302" s="53">
        <v>0.1</v>
      </c>
      <c r="H302" s="54">
        <f t="shared" si="32"/>
        <v>0.10512534618377685</v>
      </c>
      <c r="I302" s="7">
        <v>8.3596540610898273</v>
      </c>
      <c r="J302" s="10">
        <v>8.3101455312190922</v>
      </c>
      <c r="K302" s="19">
        <v>7.8406631066179511</v>
      </c>
      <c r="L302" s="20">
        <v>2.9624668338908901E-2</v>
      </c>
      <c r="M302" s="52">
        <v>8.4000000000000005E-2</v>
      </c>
      <c r="N302" s="53">
        <v>7.4999999999999997E-2</v>
      </c>
      <c r="O302" s="56">
        <v>7.8893313407897944E-2</v>
      </c>
      <c r="P302" s="52">
        <v>8.3784294479292143E-3</v>
      </c>
      <c r="Q302" s="54">
        <v>1.3000000000000001E-2</v>
      </c>
    </row>
    <row r="303" spans="1:17" ht="14.4" x14ac:dyDescent="0.3">
      <c r="A303" s="11">
        <f t="shared" ref="A303" si="34">A291+1</f>
        <v>2025</v>
      </c>
      <c r="B303" s="11">
        <f t="shared" si="33"/>
        <v>1</v>
      </c>
      <c r="C303" s="52">
        <v>9.4358444213867188E-2</v>
      </c>
      <c r="D303" s="53">
        <v>0.11571265220642089</v>
      </c>
      <c r="E303" s="53">
        <v>9.9994640350341793E-2</v>
      </c>
      <c r="F303" s="53">
        <v>0.11002707481384277</v>
      </c>
      <c r="G303" s="53">
        <v>0.1</v>
      </c>
      <c r="H303" s="54">
        <f t="shared" si="32"/>
        <v>0.10502320289611816</v>
      </c>
      <c r="I303" s="7">
        <v>8.7329043234427584</v>
      </c>
      <c r="J303" s="10">
        <v>8.8301715721510234</v>
      </c>
      <c r="K303" s="19">
        <v>8.4530127802793675</v>
      </c>
      <c r="L303" s="22"/>
      <c r="M303" s="52">
        <v>8.6999999999999994E-2</v>
      </c>
      <c r="N303" s="53">
        <v>8.6999999999999994E-2</v>
      </c>
      <c r="O303" s="56">
        <v>8.4270429611206052E-2</v>
      </c>
      <c r="P303" s="52">
        <v>2.6039342602839355E-3</v>
      </c>
      <c r="Q303" s="54">
        <v>1.1000000000000001E-2</v>
      </c>
    </row>
    <row r="304" spans="1:17" ht="14.4" x14ac:dyDescent="0.3">
      <c r="B304" s="11">
        <f t="shared" si="33"/>
        <v>2</v>
      </c>
      <c r="C304" s="52">
        <v>9.6065130233764645E-2</v>
      </c>
      <c r="D304" s="53">
        <v>0.11624509811401368</v>
      </c>
      <c r="E304" s="53">
        <v>9.9994640350341793E-2</v>
      </c>
      <c r="F304" s="53">
        <v>0.10925156593322755</v>
      </c>
      <c r="G304" s="53">
        <v>0.1</v>
      </c>
      <c r="H304" s="54">
        <f t="shared" si="32"/>
        <v>0.10538910865783692</v>
      </c>
      <c r="I304" s="7">
        <v>9.5880658622582651</v>
      </c>
      <c r="J304" s="10">
        <v>10.326608795028026</v>
      </c>
      <c r="K304" s="19">
        <v>9.4403087971250521</v>
      </c>
      <c r="L304" s="22"/>
      <c r="M304" s="52">
        <v>9.6000000000000002E-2</v>
      </c>
      <c r="N304" s="53">
        <v>8.6999999999999994E-2</v>
      </c>
      <c r="O304" s="56">
        <v>8.9660701751708982E-2</v>
      </c>
      <c r="P304" s="52">
        <v>-2.3240647744785514E-3</v>
      </c>
      <c r="Q304" s="54">
        <v>1.8000000000000002E-2</v>
      </c>
    </row>
    <row r="305" spans="2:17" ht="14.4" x14ac:dyDescent="0.3">
      <c r="B305" s="11">
        <f t="shared" si="33"/>
        <v>3</v>
      </c>
      <c r="C305" s="52">
        <v>0.11760263442993164</v>
      </c>
      <c r="D305" s="53">
        <v>0.11677770614624024</v>
      </c>
      <c r="E305" s="53">
        <v>0.12061389923095703</v>
      </c>
      <c r="F305" s="53">
        <v>0.12814205169677734</v>
      </c>
      <c r="G305" s="53">
        <v>0.12</v>
      </c>
      <c r="H305" s="54">
        <f t="shared" si="32"/>
        <v>0.12078407287597656</v>
      </c>
      <c r="I305" s="7">
        <v>9.1352760139407287</v>
      </c>
      <c r="J305" s="10">
        <v>10.107038145189629</v>
      </c>
      <c r="K305" s="19">
        <v>9.1160325051242488</v>
      </c>
      <c r="L305" s="22"/>
      <c r="M305" s="52">
        <v>9.0999999999999998E-2</v>
      </c>
      <c r="N305" s="53">
        <v>9.1999999999999998E-2</v>
      </c>
      <c r="O305" s="56">
        <v>9.7116727828979496E-2</v>
      </c>
      <c r="P305" s="52">
        <v>2.364348534024785E-3</v>
      </c>
      <c r="Q305" s="54">
        <v>4.0000000000000001E-3</v>
      </c>
    </row>
    <row r="306" spans="2:17" ht="14.4" x14ac:dyDescent="0.3">
      <c r="B306" s="11">
        <f t="shared" si="33"/>
        <v>4</v>
      </c>
      <c r="C306" s="52">
        <v>0.1224728775024414</v>
      </c>
      <c r="D306" s="53">
        <v>0.11731040954589844</v>
      </c>
      <c r="E306" s="53">
        <v>0.1199946403503418</v>
      </c>
      <c r="F306" s="53">
        <v>0.12680255889892578</v>
      </c>
      <c r="G306" s="53">
        <v>0.12</v>
      </c>
      <c r="H306" s="54">
        <f t="shared" si="32"/>
        <v>0.12164512157440185</v>
      </c>
      <c r="I306" s="7">
        <v>8.6424215838511778</v>
      </c>
      <c r="J306" s="10">
        <v>9.8406767517524862</v>
      </c>
      <c r="K306" s="19">
        <v>8.9331759173197902</v>
      </c>
      <c r="L306" s="22"/>
      <c r="M306" s="52">
        <v>8.5999999999999993E-2</v>
      </c>
      <c r="N306" s="53">
        <v>8.900000000000001E-2</v>
      </c>
      <c r="O306" s="56">
        <v>9.2430143356323241E-2</v>
      </c>
      <c r="P306" s="22"/>
    </row>
    <row r="307" spans="2:17" ht="14.4" x14ac:dyDescent="0.3">
      <c r="B307" s="11">
        <f t="shared" si="33"/>
        <v>5</v>
      </c>
      <c r="C307" s="52">
        <v>0.12234245300292969</v>
      </c>
      <c r="D307" s="53">
        <v>0.1178431510925293</v>
      </c>
      <c r="E307" s="53">
        <v>0.1199946403503418</v>
      </c>
      <c r="F307" s="53">
        <v>0.12534441947937011</v>
      </c>
      <c r="G307" s="53">
        <v>0.12</v>
      </c>
      <c r="H307" s="54">
        <f t="shared" si="32"/>
        <v>0.12138116598129273</v>
      </c>
      <c r="I307" s="7">
        <v>8.2917016748004446</v>
      </c>
      <c r="J307" s="10">
        <v>9.4047940582582044</v>
      </c>
      <c r="K307" s="19">
        <v>8.8523982337170626</v>
      </c>
      <c r="L307" s="22"/>
      <c r="M307" s="52">
        <v>8.3000000000000004E-2</v>
      </c>
      <c r="N307" s="53">
        <v>8.4000000000000005E-2</v>
      </c>
      <c r="O307" s="56">
        <v>9.0083246231079106E-2</v>
      </c>
      <c r="P307" s="22"/>
    </row>
    <row r="308" spans="2:17" ht="14.4" x14ac:dyDescent="0.3">
      <c r="B308" s="11">
        <f t="shared" si="33"/>
        <v>6</v>
      </c>
      <c r="C308" s="52">
        <v>0.12061656951904297</v>
      </c>
      <c r="D308" s="53">
        <v>0.11837591171264648</v>
      </c>
      <c r="E308" s="53">
        <v>0.1199946403503418</v>
      </c>
      <c r="F308" s="53">
        <v>0.12387909889221191</v>
      </c>
      <c r="G308" s="53">
        <v>0.12</v>
      </c>
      <c r="H308" s="54">
        <f t="shared" si="32"/>
        <v>0.1207165551185608</v>
      </c>
      <c r="I308" s="7">
        <v>8.1975794538234439</v>
      </c>
      <c r="J308" s="10">
        <v>9.4219513635863237</v>
      </c>
      <c r="K308" s="19">
        <v>8.6524030260070042</v>
      </c>
      <c r="L308" s="22"/>
      <c r="M308" s="52">
        <v>8.199999999999999E-2</v>
      </c>
      <c r="N308" s="53">
        <v>0.08</v>
      </c>
      <c r="O308" s="56">
        <v>8.9020214080810553E-2</v>
      </c>
      <c r="P308" s="22"/>
    </row>
    <row r="309" spans="2:17" ht="14.4" x14ac:dyDescent="0.3">
      <c r="B309" s="11">
        <f t="shared" si="33"/>
        <v>7</v>
      </c>
      <c r="C309" s="52">
        <v>0.12163762748241425</v>
      </c>
      <c r="D309" s="53">
        <v>0.11329757422208786</v>
      </c>
      <c r="E309" s="53">
        <v>0.12005312740802765</v>
      </c>
      <c r="F309" s="53">
        <v>0.12304996699094772</v>
      </c>
      <c r="G309" s="53">
        <v>0.12</v>
      </c>
      <c r="H309" s="54">
        <f t="shared" si="32"/>
        <v>0.11950957402586937</v>
      </c>
      <c r="I309" s="7">
        <v>8.1109889058214701</v>
      </c>
      <c r="J309" s="10">
        <v>9.3381090120267842</v>
      </c>
      <c r="K309" s="19">
        <v>8.2416309470449747</v>
      </c>
      <c r="L309" s="22"/>
      <c r="M309" s="52">
        <v>8.1000000000000003E-2</v>
      </c>
      <c r="N309" s="53">
        <v>8.1000000000000003E-2</v>
      </c>
      <c r="O309" s="56">
        <v>9.1222476959228513E-2</v>
      </c>
      <c r="P309" s="22"/>
    </row>
    <row r="310" spans="2:17" ht="14.4" x14ac:dyDescent="0.3">
      <c r="B310" s="11">
        <f t="shared" si="33"/>
        <v>8</v>
      </c>
      <c r="C310" s="52">
        <v>0.11913926899433136</v>
      </c>
      <c r="D310" s="53">
        <v>0.1134934201836586</v>
      </c>
      <c r="E310" s="53">
        <v>0.11893916130065918</v>
      </c>
      <c r="F310" s="53">
        <v>0.12059886753559113</v>
      </c>
      <c r="G310" s="53">
        <v>0.12</v>
      </c>
      <c r="H310" s="54">
        <f t="shared" si="32"/>
        <v>0.11804267950356007</v>
      </c>
      <c r="I310" s="7">
        <v>8.8050056172735314</v>
      </c>
      <c r="J310" s="10">
        <v>9.8129907300086074</v>
      </c>
      <c r="K310" s="19">
        <v>7.6843247636753098</v>
      </c>
      <c r="L310" s="22"/>
      <c r="M310" s="52">
        <v>8.8000000000000009E-2</v>
      </c>
      <c r="N310" s="53">
        <v>7.2999999999999995E-2</v>
      </c>
      <c r="O310" s="56">
        <v>7.9621071815490718E-2</v>
      </c>
      <c r="P310" s="22"/>
    </row>
    <row r="311" spans="2:17" ht="14.4" x14ac:dyDescent="0.3">
      <c r="B311" s="11">
        <f t="shared" si="33"/>
        <v>9</v>
      </c>
      <c r="C311" s="52">
        <v>0.12029062956571579</v>
      </c>
      <c r="D311" s="53">
        <v>0.11369401961565018</v>
      </c>
      <c r="E311" s="53">
        <v>0.12126611918210983</v>
      </c>
      <c r="F311" s="53">
        <v>0.12190169095993042</v>
      </c>
      <c r="G311" s="53">
        <v>0.12</v>
      </c>
      <c r="H311" s="54">
        <f t="shared" si="32"/>
        <v>0.11928811483085155</v>
      </c>
      <c r="I311" s="7">
        <v>9.0299808348750954</v>
      </c>
      <c r="J311" s="10">
        <v>9.8555866268024381</v>
      </c>
      <c r="K311" s="19">
        <v>7.668444857363732</v>
      </c>
      <c r="L311" s="22"/>
      <c r="M311" s="52">
        <v>0.09</v>
      </c>
      <c r="N311" s="53">
        <v>8.6999999999999994E-2</v>
      </c>
      <c r="O311" s="56">
        <v>9.7858943939208978E-2</v>
      </c>
      <c r="P311" s="22"/>
    </row>
    <row r="312" spans="2:17" ht="14.4" x14ac:dyDescent="0.3">
      <c r="B312" s="11">
        <f t="shared" si="33"/>
        <v>10</v>
      </c>
      <c r="C312" s="15"/>
      <c r="D312" s="16"/>
      <c r="E312" s="16"/>
      <c r="F312" s="16"/>
      <c r="G312" s="16"/>
      <c r="H312" s="16"/>
      <c r="I312" s="22"/>
      <c r="K312" s="21"/>
      <c r="L312" s="22"/>
      <c r="M312" s="52">
        <v>9.1999999999999998E-2</v>
      </c>
      <c r="N312" s="53">
        <v>8.6999999999999994E-2</v>
      </c>
      <c r="O312" s="56">
        <v>9.4450569152832037E-2</v>
      </c>
      <c r="P312" s="22"/>
    </row>
    <row r="313" spans="2:17" ht="14.4" x14ac:dyDescent="0.3">
      <c r="B313" s="11">
        <f t="shared" si="33"/>
        <v>11</v>
      </c>
      <c r="C313" s="15"/>
      <c r="D313" s="16"/>
      <c r="E313" s="16"/>
      <c r="F313" s="16"/>
      <c r="G313" s="16"/>
      <c r="H313" s="16"/>
      <c r="I313" s="22"/>
      <c r="K313" s="21"/>
      <c r="L313" s="22"/>
      <c r="M313" s="52">
        <v>8.199999999999999E-2</v>
      </c>
      <c r="N313" s="53">
        <v>7.8E-2</v>
      </c>
      <c r="O313" s="56">
        <v>8.3265399932861334E-2</v>
      </c>
      <c r="P313" s="22"/>
    </row>
    <row r="314" spans="2:17" ht="14.4" x14ac:dyDescent="0.3">
      <c r="B314" s="11">
        <f t="shared" si="33"/>
        <v>12</v>
      </c>
      <c r="C314" s="15"/>
      <c r="D314" s="16"/>
      <c r="E314" s="16"/>
      <c r="F314" s="16"/>
      <c r="G314" s="16"/>
      <c r="H314" s="16"/>
      <c r="I314" s="22"/>
      <c r="K314" s="21"/>
      <c r="L314" s="22"/>
      <c r="M314" s="52">
        <v>7.4999999999999997E-2</v>
      </c>
      <c r="N314" s="53">
        <v>7.2999999999999995E-2</v>
      </c>
      <c r="O314" s="56">
        <v>7.6339159011840824E-2</v>
      </c>
      <c r="P314" s="22"/>
    </row>
    <row r="315" spans="2:17" ht="14.4" x14ac:dyDescent="0.3">
      <c r="M315" s="52"/>
      <c r="N315" s="53">
        <v>7.5999999999999998E-2</v>
      </c>
      <c r="O315" s="56">
        <v>7.056120872497558E-2</v>
      </c>
    </row>
  </sheetData>
  <mergeCells count="6">
    <mergeCell ref="P1:Q1"/>
    <mergeCell ref="C1:H1"/>
    <mergeCell ref="I1:K1"/>
    <mergeCell ref="M1:O1"/>
    <mergeCell ref="A1:A2"/>
    <mergeCell ref="B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EEAFB-FD18-441F-8043-265844040945}">
  <dimension ref="A1:W106"/>
  <sheetViews>
    <sheetView topLeftCell="Q1" workbookViewId="0">
      <selection activeCell="U1" sqref="U1:W1048576"/>
    </sheetView>
  </sheetViews>
  <sheetFormatPr defaultRowHeight="14.4" x14ac:dyDescent="0.3"/>
  <cols>
    <col min="1" max="1" width="5.88671875" style="11" bestFit="1" customWidth="1"/>
    <col min="2" max="2" width="7.33203125" style="11" bestFit="1" customWidth="1"/>
    <col min="3" max="3" width="4.33203125" style="11" bestFit="1" customWidth="1"/>
    <col min="4" max="4" width="7.109375" style="11" bestFit="1" customWidth="1"/>
    <col min="5" max="5" width="5.88671875" style="11" bestFit="1" customWidth="1"/>
    <col min="6" max="6" width="7.5546875" style="11" bestFit="1" customWidth="1"/>
    <col min="7" max="7" width="6.109375" style="11" bestFit="1" customWidth="1"/>
    <col min="8" max="8" width="5.44140625" style="11" bestFit="1" customWidth="1"/>
    <col min="9" max="9" width="8.6640625" style="11" bestFit="1" customWidth="1"/>
    <col min="10" max="10" width="9" style="11" bestFit="1" customWidth="1"/>
    <col min="11" max="12" width="7" style="11" bestFit="1" customWidth="1"/>
    <col min="13" max="13" width="8.6640625" style="11" bestFit="1" customWidth="1"/>
    <col min="14" max="14" width="8.44140625" style="11" bestFit="1" customWidth="1"/>
    <col min="15" max="15" width="9" style="11" bestFit="1" customWidth="1"/>
    <col min="16" max="16" width="8.6640625" style="11" bestFit="1" customWidth="1"/>
    <col min="17" max="17" width="6.44140625" style="11" bestFit="1" customWidth="1"/>
    <col min="18" max="18" width="16.21875" style="11" customWidth="1"/>
    <col min="19" max="19" width="8.77734375" style="11" bestFit="1" customWidth="1"/>
    <col min="20" max="20" width="8.21875" style="11" bestFit="1" customWidth="1"/>
    <col min="21" max="21" width="16.33203125" style="57" customWidth="1"/>
    <col min="22" max="22" width="16.33203125" customWidth="1"/>
    <col min="23" max="23" width="16.33203125" style="55" customWidth="1"/>
    <col min="24" max="16384" width="8.88671875" style="11"/>
  </cols>
  <sheetData>
    <row r="1" spans="1:23" ht="13.8" x14ac:dyDescent="0.25">
      <c r="A1" s="45" t="s">
        <v>6</v>
      </c>
      <c r="B1" s="47" t="s">
        <v>19</v>
      </c>
      <c r="C1" s="42" t="s">
        <v>14</v>
      </c>
      <c r="D1" s="43"/>
      <c r="E1" s="43"/>
      <c r="F1" s="44"/>
      <c r="G1" s="42" t="s">
        <v>15</v>
      </c>
      <c r="H1" s="43"/>
      <c r="I1" s="43" t="s">
        <v>34</v>
      </c>
      <c r="J1" s="43"/>
      <c r="K1" s="43"/>
      <c r="L1" s="44"/>
      <c r="M1" s="42" t="s">
        <v>16</v>
      </c>
      <c r="N1" s="43"/>
      <c r="O1" s="44"/>
      <c r="P1" s="42" t="s">
        <v>17</v>
      </c>
      <c r="Q1" s="43"/>
      <c r="R1" s="44"/>
      <c r="S1" s="42" t="s">
        <v>18</v>
      </c>
      <c r="T1" s="44"/>
      <c r="U1" s="72" t="s">
        <v>1</v>
      </c>
      <c r="V1" s="43"/>
      <c r="W1" s="73"/>
    </row>
    <row r="2" spans="1:23" ht="86.4" x14ac:dyDescent="0.25">
      <c r="A2" s="46"/>
      <c r="B2" s="48"/>
      <c r="C2" s="61" t="s">
        <v>35</v>
      </c>
      <c r="D2" s="62" t="s">
        <v>20</v>
      </c>
      <c r="E2" s="63" t="s">
        <v>44</v>
      </c>
      <c r="F2" s="62" t="s">
        <v>21</v>
      </c>
      <c r="G2" s="68" t="s">
        <v>45</v>
      </c>
      <c r="H2" s="69" t="s">
        <v>46</v>
      </c>
      <c r="I2" s="24" t="s">
        <v>22</v>
      </c>
      <c r="J2" s="24" t="s">
        <v>23</v>
      </c>
      <c r="K2" s="24" t="s">
        <v>24</v>
      </c>
      <c r="L2" s="25" t="s">
        <v>25</v>
      </c>
      <c r="M2" s="23" t="s">
        <v>26</v>
      </c>
      <c r="N2" s="24" t="s">
        <v>27</v>
      </c>
      <c r="O2" s="25" t="s">
        <v>28</v>
      </c>
      <c r="P2" s="23" t="s">
        <v>29</v>
      </c>
      <c r="Q2" s="24" t="s">
        <v>30</v>
      </c>
      <c r="R2" s="25" t="s">
        <v>31</v>
      </c>
      <c r="S2" s="23" t="s">
        <v>32</v>
      </c>
      <c r="T2" s="25" t="s">
        <v>33</v>
      </c>
      <c r="U2" s="61" t="s">
        <v>1</v>
      </c>
      <c r="V2" s="62" t="s">
        <v>9</v>
      </c>
      <c r="W2" s="74" t="s">
        <v>47</v>
      </c>
    </row>
    <row r="3" spans="1:23" x14ac:dyDescent="0.3">
      <c r="A3" s="11">
        <v>2000</v>
      </c>
      <c r="B3" s="11">
        <v>1</v>
      </c>
      <c r="C3" s="64">
        <v>-4.31694823743691E-2</v>
      </c>
      <c r="D3" s="65">
        <v>-6.7744531766675803E-2</v>
      </c>
      <c r="E3" s="65">
        <v>-1.1584509029319701E-2</v>
      </c>
      <c r="F3" s="65">
        <v>-4.0832841056788201E-2</v>
      </c>
      <c r="G3" s="57"/>
      <c r="H3" s="55"/>
      <c r="L3" s="21"/>
      <c r="M3" s="22"/>
      <c r="O3" s="21"/>
      <c r="P3" s="22"/>
      <c r="R3" s="21"/>
      <c r="S3" s="22"/>
      <c r="T3" s="21"/>
    </row>
    <row r="4" spans="1:23" x14ac:dyDescent="0.3">
      <c r="B4" s="11">
        <v>2</v>
      </c>
      <c r="C4" s="64">
        <v>2.9071962383411497E-2</v>
      </c>
      <c r="D4" s="65">
        <v>2.3999551951966198E-3</v>
      </c>
      <c r="E4" s="65">
        <v>-1.5436316824124698E-3</v>
      </c>
      <c r="F4" s="65">
        <v>9.976095298731882E-3</v>
      </c>
      <c r="G4" s="70"/>
      <c r="H4" s="55"/>
      <c r="L4" s="21"/>
      <c r="M4" s="22"/>
      <c r="O4" s="21"/>
      <c r="P4" s="22"/>
      <c r="R4" s="21"/>
      <c r="S4" s="22"/>
      <c r="T4" s="21"/>
    </row>
    <row r="5" spans="1:23" x14ac:dyDescent="0.3">
      <c r="B5" s="11">
        <v>3</v>
      </c>
      <c r="C5" s="64">
        <v>4.2951105477648001E-2</v>
      </c>
      <c r="D5" s="65">
        <v>2.1095420982750201E-2</v>
      </c>
      <c r="E5" s="65">
        <v>-6.1817366747168997E-3</v>
      </c>
      <c r="F5" s="65">
        <v>1.9288263261893767E-2</v>
      </c>
      <c r="G5" s="70"/>
      <c r="H5" s="55"/>
      <c r="L5" s="21"/>
      <c r="M5" s="22"/>
      <c r="O5" s="21"/>
      <c r="P5" s="22"/>
      <c r="R5" s="21"/>
      <c r="S5" s="22"/>
      <c r="T5" s="21"/>
    </row>
    <row r="6" spans="1:23" x14ac:dyDescent="0.3">
      <c r="B6" s="11">
        <v>4</v>
      </c>
      <c r="C6" s="64">
        <v>5.79962357578074E-2</v>
      </c>
      <c r="D6" s="65">
        <v>3.6120610085960202E-2</v>
      </c>
      <c r="E6" s="65">
        <v>-1.0382599550859599E-2</v>
      </c>
      <c r="F6" s="65">
        <v>2.7911415430969335E-2</v>
      </c>
      <c r="G6" s="70"/>
      <c r="H6" s="55"/>
      <c r="L6" s="21"/>
      <c r="M6" s="22"/>
      <c r="O6" s="21"/>
      <c r="P6" s="22"/>
      <c r="R6" s="21"/>
      <c r="S6" s="22"/>
      <c r="T6" s="21"/>
    </row>
    <row r="7" spans="1:23" x14ac:dyDescent="0.3">
      <c r="A7" s="11">
        <f>A3+1</f>
        <v>2001</v>
      </c>
      <c r="B7" s="11">
        <f>B3</f>
        <v>1</v>
      </c>
      <c r="C7" s="64">
        <v>-2.7633739719126398E-2</v>
      </c>
      <c r="D7" s="65">
        <v>-3.3195122216757099E-2</v>
      </c>
      <c r="E7" s="65">
        <v>-2.7957911204246198E-2</v>
      </c>
      <c r="F7" s="65">
        <v>-2.9595591046709901E-2</v>
      </c>
      <c r="G7" s="70">
        <v>8.6000000000000076E-2</v>
      </c>
      <c r="H7" s="55"/>
      <c r="L7" s="21"/>
      <c r="M7" s="22"/>
      <c r="O7" s="21"/>
      <c r="P7" s="22"/>
      <c r="R7" s="21"/>
      <c r="S7" s="22"/>
      <c r="T7" s="21"/>
    </row>
    <row r="8" spans="1:23" x14ac:dyDescent="0.3">
      <c r="B8" s="11">
        <f t="shared" ref="B8:B71" si="0">B4</f>
        <v>2</v>
      </c>
      <c r="C8" s="64">
        <v>-2.0457849736505902E-2</v>
      </c>
      <c r="D8" s="65">
        <v>-2.4037024201406899E-2</v>
      </c>
      <c r="E8" s="65">
        <v>-3.3711345107750604E-2</v>
      </c>
      <c r="F8" s="65">
        <v>-2.6068739681887804E-2</v>
      </c>
      <c r="G8" s="70">
        <v>1.362681686638334E-2</v>
      </c>
      <c r="H8" s="55"/>
      <c r="L8" s="21"/>
      <c r="M8" s="22"/>
      <c r="O8" s="21"/>
      <c r="P8" s="22"/>
      <c r="R8" s="21"/>
      <c r="S8" s="22"/>
      <c r="T8" s="21"/>
    </row>
    <row r="9" spans="1:23" x14ac:dyDescent="0.3">
      <c r="B9" s="11">
        <f t="shared" si="0"/>
        <v>3</v>
      </c>
      <c r="C9" s="64">
        <v>1.06046036770771E-2</v>
      </c>
      <c r="D9" s="65">
        <v>2.6717322979841903E-3</v>
      </c>
      <c r="E9" s="65">
        <v>-3.3355407518664199E-2</v>
      </c>
      <c r="F9" s="65">
        <v>-6.6930238478676365E-3</v>
      </c>
      <c r="G9" s="70">
        <v>2.6761583618519325E-2</v>
      </c>
      <c r="H9" s="55"/>
      <c r="L9" s="21"/>
      <c r="M9" s="22"/>
      <c r="O9" s="21"/>
      <c r="P9" s="22"/>
      <c r="R9" s="21"/>
      <c r="S9" s="22"/>
      <c r="T9" s="21"/>
    </row>
    <row r="10" spans="1:23" x14ac:dyDescent="0.3">
      <c r="B10" s="11">
        <f t="shared" si="0"/>
        <v>4</v>
      </c>
      <c r="C10" s="64">
        <v>1.4477513496226399E-2</v>
      </c>
      <c r="D10" s="65">
        <v>7.1724740867356992E-3</v>
      </c>
      <c r="E10" s="65">
        <v>-3.9413842117094505E-2</v>
      </c>
      <c r="F10" s="65">
        <v>-5.9212848447108028E-3</v>
      </c>
      <c r="G10" s="70">
        <v>1.8340257910443913E-2</v>
      </c>
      <c r="H10" s="55"/>
      <c r="L10" s="21"/>
      <c r="M10" s="22"/>
      <c r="O10" s="21"/>
      <c r="P10" s="22"/>
      <c r="R10" s="21"/>
      <c r="S10" s="22"/>
      <c r="T10" s="21"/>
    </row>
    <row r="11" spans="1:23" x14ac:dyDescent="0.3">
      <c r="A11" s="11">
        <f t="shared" ref="A11" si="1">A7+1</f>
        <v>2002</v>
      </c>
      <c r="B11" s="11">
        <f t="shared" si="0"/>
        <v>1</v>
      </c>
      <c r="C11" s="64">
        <v>6.44821397754822E-2</v>
      </c>
      <c r="D11" s="65">
        <v>5.4446215893532796E-2</v>
      </c>
      <c r="E11" s="65">
        <v>-2.4904177727138E-3</v>
      </c>
      <c r="F11" s="65">
        <v>3.8812645965433733E-2</v>
      </c>
      <c r="G11" s="70">
        <v>0.17399999999999993</v>
      </c>
      <c r="H11" s="55"/>
      <c r="L11" s="21"/>
      <c r="M11" s="22"/>
      <c r="O11" s="21"/>
      <c r="P11" s="22"/>
      <c r="R11" s="21"/>
      <c r="S11" s="22"/>
      <c r="T11" s="21"/>
    </row>
    <row r="12" spans="1:23" x14ac:dyDescent="0.3">
      <c r="B12" s="11">
        <f t="shared" si="0"/>
        <v>2</v>
      </c>
      <c r="C12" s="64">
        <v>-3.60865021899189E-2</v>
      </c>
      <c r="D12" s="65">
        <v>-2.38498998798077E-2</v>
      </c>
      <c r="E12" s="65">
        <v>-3.3979129556225902E-2</v>
      </c>
      <c r="F12" s="65">
        <v>-3.1305177208650836E-2</v>
      </c>
      <c r="G12" s="70">
        <v>5.2930052686539719E-2</v>
      </c>
      <c r="H12" s="55"/>
      <c r="L12" s="21"/>
      <c r="M12" s="22"/>
      <c r="O12" s="21"/>
      <c r="P12" s="22"/>
      <c r="R12" s="21"/>
      <c r="S12" s="22"/>
      <c r="T12" s="21"/>
    </row>
    <row r="13" spans="1:23" x14ac:dyDescent="0.3">
      <c r="B13" s="11">
        <f t="shared" si="0"/>
        <v>3</v>
      </c>
      <c r="C13" s="64">
        <v>-5.6404876238905201E-2</v>
      </c>
      <c r="D13" s="65">
        <v>-3.4257900461930405E-2</v>
      </c>
      <c r="E13" s="65">
        <v>-4.4556462777269205E-2</v>
      </c>
      <c r="F13" s="65">
        <v>-4.5073079826034944E-2</v>
      </c>
      <c r="G13" s="70">
        <v>-7.7570986171429102E-3</v>
      </c>
      <c r="H13" s="55"/>
      <c r="L13" s="21"/>
      <c r="M13" s="22"/>
      <c r="O13" s="21"/>
      <c r="P13" s="22"/>
      <c r="R13" s="21"/>
      <c r="S13" s="22"/>
      <c r="T13" s="21"/>
    </row>
    <row r="14" spans="1:23" x14ac:dyDescent="0.3">
      <c r="B14" s="11">
        <f t="shared" si="0"/>
        <v>4</v>
      </c>
      <c r="C14" s="64">
        <v>-2.8390753346134199E-2</v>
      </c>
      <c r="D14" s="65">
        <v>-4.4107657499393499E-3</v>
      </c>
      <c r="E14" s="65">
        <v>-4.2589873083607205E-2</v>
      </c>
      <c r="F14" s="65">
        <v>-2.5130464059893581E-2</v>
      </c>
      <c r="G14" s="70">
        <v>1.8558819239958391E-2</v>
      </c>
      <c r="H14" s="55"/>
      <c r="L14" s="21"/>
      <c r="M14" s="22"/>
      <c r="O14" s="21"/>
      <c r="P14" s="22"/>
      <c r="R14" s="21"/>
      <c r="S14" s="22"/>
      <c r="T14" s="21"/>
    </row>
    <row r="15" spans="1:23" x14ac:dyDescent="0.3">
      <c r="A15" s="11">
        <f t="shared" ref="A15" si="2">A11+1</f>
        <v>2003</v>
      </c>
      <c r="B15" s="11">
        <f t="shared" si="0"/>
        <v>1</v>
      </c>
      <c r="C15" s="64">
        <v>-9.6862653162202092E-3</v>
      </c>
      <c r="D15" s="65">
        <v>1.08825533305886E-2</v>
      </c>
      <c r="E15" s="65">
        <v>6.5307681541089402E-3</v>
      </c>
      <c r="F15" s="65">
        <v>2.5756853894924434E-3</v>
      </c>
      <c r="G15" s="70">
        <v>-5.0000000000000044E-3</v>
      </c>
      <c r="H15" s="55"/>
      <c r="L15" s="21"/>
      <c r="M15" s="22"/>
      <c r="O15" s="21"/>
      <c r="P15" s="22"/>
      <c r="R15" s="21"/>
      <c r="S15" s="22"/>
      <c r="T15" s="21"/>
    </row>
    <row r="16" spans="1:23" x14ac:dyDescent="0.3">
      <c r="B16" s="11">
        <f t="shared" si="0"/>
        <v>2</v>
      </c>
      <c r="C16" s="64">
        <v>-1.14323710467147E-2</v>
      </c>
      <c r="D16" s="65">
        <v>6.5306182149579796E-3</v>
      </c>
      <c r="E16" s="65">
        <v>2.9524872612064603E-3</v>
      </c>
      <c r="F16" s="65">
        <v>-6.4975519018342003E-4</v>
      </c>
      <c r="G16" s="70">
        <v>9.6093797642494483E-2</v>
      </c>
      <c r="H16" s="55"/>
      <c r="L16" s="21"/>
      <c r="M16" s="22"/>
      <c r="O16" s="21"/>
      <c r="P16" s="22"/>
      <c r="R16" s="21"/>
      <c r="S16" s="22"/>
      <c r="T16" s="21"/>
    </row>
    <row r="17" spans="1:23" x14ac:dyDescent="0.3">
      <c r="B17" s="11">
        <f t="shared" si="0"/>
        <v>3</v>
      </c>
      <c r="C17" s="64">
        <v>-1.2788318757873101E-2</v>
      </c>
      <c r="D17" s="65">
        <v>8.0145224345783595E-4</v>
      </c>
      <c r="E17" s="65">
        <v>7.2747124354962495E-4</v>
      </c>
      <c r="F17" s="65">
        <v>-3.7531317569552132E-3</v>
      </c>
      <c r="G17" s="70">
        <v>0.11481829431175195</v>
      </c>
      <c r="H17" s="55"/>
      <c r="L17" s="21"/>
      <c r="M17" s="22"/>
      <c r="O17" s="21"/>
      <c r="P17" s="22"/>
      <c r="R17" s="21"/>
      <c r="S17" s="22"/>
      <c r="T17" s="21"/>
    </row>
    <row r="18" spans="1:23" x14ac:dyDescent="0.3">
      <c r="B18" s="11">
        <f t="shared" si="0"/>
        <v>4</v>
      </c>
      <c r="C18" s="64">
        <v>-4.25026110440671E-2</v>
      </c>
      <c r="D18" s="65">
        <v>-3.0487801402585203E-2</v>
      </c>
      <c r="E18" s="65">
        <v>-7.2966580616420995E-3</v>
      </c>
      <c r="F18" s="65">
        <v>-2.6762356836098136E-2</v>
      </c>
      <c r="G18" s="70">
        <v>5.5214790812297521E-2</v>
      </c>
      <c r="H18" s="55"/>
      <c r="L18" s="21"/>
      <c r="M18" s="22"/>
      <c r="O18" s="21"/>
      <c r="P18" s="22"/>
      <c r="R18" s="21"/>
      <c r="S18" s="22"/>
      <c r="T18" s="21"/>
    </row>
    <row r="19" spans="1:23" x14ac:dyDescent="0.3">
      <c r="A19" s="11">
        <f t="shared" ref="A19" si="3">A15+1</f>
        <v>2004</v>
      </c>
      <c r="B19" s="11">
        <f t="shared" si="0"/>
        <v>1</v>
      </c>
      <c r="C19" s="64">
        <v>1.72620306654153E-3</v>
      </c>
      <c r="D19" s="65">
        <v>2.59141910762628E-3</v>
      </c>
      <c r="E19" s="65">
        <v>7.5402719536880797E-2</v>
      </c>
      <c r="F19" s="65">
        <v>2.6573447237016202E-2</v>
      </c>
      <c r="G19" s="70">
        <v>8.6999999999999966E-2</v>
      </c>
      <c r="H19" s="55"/>
      <c r="L19" s="21"/>
      <c r="M19" s="22"/>
      <c r="O19" s="21"/>
      <c r="P19" s="22"/>
      <c r="R19" s="21"/>
      <c r="S19" s="22"/>
      <c r="T19" s="21"/>
    </row>
    <row r="20" spans="1:23" x14ac:dyDescent="0.3">
      <c r="B20" s="11">
        <f t="shared" si="0"/>
        <v>2</v>
      </c>
      <c r="C20" s="64">
        <v>4.2000694609202999E-2</v>
      </c>
      <c r="D20" s="65">
        <v>3.5537835762118899E-2</v>
      </c>
      <c r="E20" s="65">
        <v>8.9551372580746011E-2</v>
      </c>
      <c r="F20" s="65">
        <v>5.569663431735597E-2</v>
      </c>
      <c r="G20" s="70">
        <v>0.13403011040242108</v>
      </c>
      <c r="H20" s="55"/>
      <c r="L20" s="21"/>
      <c r="M20" s="22"/>
      <c r="O20" s="21"/>
      <c r="P20" s="22"/>
      <c r="R20" s="21"/>
      <c r="S20" s="22"/>
      <c r="T20" s="21"/>
    </row>
    <row r="21" spans="1:23" x14ac:dyDescent="0.3">
      <c r="B21" s="11">
        <f t="shared" si="0"/>
        <v>3</v>
      </c>
      <c r="C21" s="64">
        <v>1.44122213023706E-2</v>
      </c>
      <c r="D21" s="65">
        <v>1.1557721081801899E-2</v>
      </c>
      <c r="E21" s="65">
        <v>8.6933036738171904E-2</v>
      </c>
      <c r="F21" s="65">
        <v>3.7634326374114797E-2</v>
      </c>
      <c r="G21" s="70">
        <v>9.6754865312174365E-2</v>
      </c>
      <c r="H21" s="55"/>
      <c r="L21" s="21"/>
      <c r="M21" s="22"/>
      <c r="O21" s="21"/>
      <c r="P21" s="22"/>
      <c r="R21" s="21"/>
      <c r="S21" s="22"/>
      <c r="T21" s="21"/>
    </row>
    <row r="22" spans="1:23" x14ac:dyDescent="0.3">
      <c r="B22" s="11">
        <f t="shared" si="0"/>
        <v>4</v>
      </c>
      <c r="C22" s="64">
        <v>-2.9237218866442101E-2</v>
      </c>
      <c r="D22" s="65">
        <v>-2.4371866346381797E-2</v>
      </c>
      <c r="E22" s="65">
        <v>8.1940686230534895E-2</v>
      </c>
      <c r="F22" s="65">
        <v>9.4438670059036663E-3</v>
      </c>
      <c r="G22" s="70">
        <v>9.8461778765572161E-2</v>
      </c>
      <c r="H22" s="55"/>
      <c r="L22" s="21"/>
      <c r="M22" s="22"/>
      <c r="O22" s="21"/>
      <c r="P22" s="22"/>
      <c r="R22" s="21"/>
      <c r="S22" s="22"/>
      <c r="T22" s="21"/>
    </row>
    <row r="23" spans="1:23" x14ac:dyDescent="0.3">
      <c r="A23" s="11">
        <f t="shared" ref="A23" si="4">A19+1</f>
        <v>2005</v>
      </c>
      <c r="B23" s="11">
        <f t="shared" si="0"/>
        <v>1</v>
      </c>
      <c r="C23" s="64">
        <v>-2.4921634948093397E-2</v>
      </c>
      <c r="D23" s="65">
        <v>-1.8289408115252499E-2</v>
      </c>
      <c r="E23" s="65">
        <v>6.1200204841087E-2</v>
      </c>
      <c r="F23" s="65">
        <v>5.996387259247035E-3</v>
      </c>
      <c r="G23" s="70">
        <v>4.6999999999999931E-2</v>
      </c>
      <c r="H23" s="55"/>
      <c r="L23" s="21"/>
      <c r="M23" s="22"/>
      <c r="O23" s="21"/>
      <c r="P23" s="22"/>
      <c r="R23" s="21"/>
      <c r="S23" s="22"/>
      <c r="T23" s="21"/>
      <c r="U23" s="75">
        <v>98.316959999999995</v>
      </c>
      <c r="V23" s="76">
        <v>94.634530999999996</v>
      </c>
      <c r="W23" s="71">
        <v>-3.7454667027947197E-2</v>
      </c>
    </row>
    <row r="24" spans="1:23" x14ac:dyDescent="0.3">
      <c r="B24" s="11">
        <f t="shared" si="0"/>
        <v>2</v>
      </c>
      <c r="C24" s="64">
        <v>6.8664910323877806E-3</v>
      </c>
      <c r="D24" s="65">
        <v>9.0616299412188094E-3</v>
      </c>
      <c r="E24" s="65">
        <v>7.0827356165666003E-2</v>
      </c>
      <c r="F24" s="65">
        <v>2.8918492379757531E-2</v>
      </c>
      <c r="G24" s="70">
        <v>3.742433686767721E-2</v>
      </c>
      <c r="H24" s="55"/>
      <c r="L24" s="21"/>
      <c r="M24" s="22"/>
      <c r="O24" s="21"/>
      <c r="P24" s="22"/>
      <c r="R24" s="21"/>
      <c r="S24" s="22"/>
      <c r="T24" s="21"/>
      <c r="U24" s="75">
        <v>98.93835</v>
      </c>
      <c r="V24" s="76">
        <v>102.2385</v>
      </c>
      <c r="W24" s="71">
        <v>3.3355619939083203E-2</v>
      </c>
    </row>
    <row r="25" spans="1:23" x14ac:dyDescent="0.3">
      <c r="B25" s="11">
        <f t="shared" si="0"/>
        <v>3</v>
      </c>
      <c r="C25" s="64">
        <v>1.23397791289448E-2</v>
      </c>
      <c r="D25" s="65">
        <v>1.1967782920513498E-2</v>
      </c>
      <c r="E25" s="65">
        <v>9.1021697282223396E-2</v>
      </c>
      <c r="F25" s="65">
        <v>3.8443086443893902E-2</v>
      </c>
      <c r="G25" s="70">
        <v>6.8800006108701295E-2</v>
      </c>
      <c r="H25" s="55"/>
      <c r="L25" s="21"/>
      <c r="M25" s="22"/>
      <c r="O25" s="21"/>
      <c r="P25" s="22"/>
      <c r="R25" s="21"/>
      <c r="S25" s="22"/>
      <c r="T25" s="21"/>
      <c r="U25" s="75">
        <v>99.559190000000001</v>
      </c>
      <c r="V25" s="76">
        <v>100.8553</v>
      </c>
      <c r="W25" s="71">
        <v>1.3018486791626094E-2</v>
      </c>
    </row>
    <row r="26" spans="1:23" x14ac:dyDescent="0.3">
      <c r="B26" s="11">
        <f t="shared" si="0"/>
        <v>4</v>
      </c>
      <c r="C26" s="64">
        <v>3.4389450064963899E-3</v>
      </c>
      <c r="D26" s="65">
        <v>4.9955249072497002E-3</v>
      </c>
      <c r="E26" s="65">
        <v>1.9733274885696098E-2</v>
      </c>
      <c r="F26" s="65">
        <v>9.3892482664807292E-3</v>
      </c>
      <c r="G26" s="70">
        <v>0.12881062695516543</v>
      </c>
      <c r="H26" s="55"/>
      <c r="L26" s="21"/>
      <c r="M26" s="22"/>
      <c r="O26" s="21"/>
      <c r="P26" s="22"/>
      <c r="R26" s="21"/>
      <c r="S26" s="22"/>
      <c r="T26" s="21"/>
      <c r="U26" s="75">
        <v>100.1798</v>
      </c>
      <c r="V26" s="76">
        <v>96.565871000000001</v>
      </c>
      <c r="W26" s="71">
        <v>-3.6074428178135665E-2</v>
      </c>
    </row>
    <row r="27" spans="1:23" x14ac:dyDescent="0.3">
      <c r="A27" s="11">
        <f t="shared" ref="A27" si="5">A23+1</f>
        <v>2006</v>
      </c>
      <c r="B27" s="11">
        <f t="shared" si="0"/>
        <v>1</v>
      </c>
      <c r="C27" s="64">
        <v>1.2801183438887101E-3</v>
      </c>
      <c r="D27" s="65">
        <v>4.01088878285971E-3</v>
      </c>
      <c r="E27" s="65">
        <v>1.1962130563335E-2</v>
      </c>
      <c r="F27" s="65">
        <v>5.7510458966944728E-3</v>
      </c>
      <c r="G27" s="70">
        <v>0.10699999999999998</v>
      </c>
      <c r="H27" s="55"/>
      <c r="L27" s="21"/>
      <c r="M27" s="22"/>
      <c r="O27" s="21"/>
      <c r="P27" s="22"/>
      <c r="R27" s="21"/>
      <c r="S27" s="22"/>
      <c r="T27" s="21"/>
      <c r="U27" s="75">
        <v>100.804</v>
      </c>
      <c r="V27" s="76">
        <v>98.590214000000003</v>
      </c>
      <c r="W27" s="71">
        <v>-2.1961291218602463E-2</v>
      </c>
    </row>
    <row r="28" spans="1:23" x14ac:dyDescent="0.3">
      <c r="B28" s="11">
        <f t="shared" si="0"/>
        <v>2</v>
      </c>
      <c r="C28" s="64">
        <v>-3.6904243494061496E-2</v>
      </c>
      <c r="D28" s="65">
        <v>-3.1477300871257496E-2</v>
      </c>
      <c r="E28" s="65">
        <v>-4.0137317713891896E-2</v>
      </c>
      <c r="F28" s="65">
        <v>-3.617295402640363E-2</v>
      </c>
      <c r="G28" s="70">
        <v>2.6927772348474877E-2</v>
      </c>
      <c r="H28" s="55"/>
      <c r="L28" s="21"/>
      <c r="M28" s="22"/>
      <c r="O28" s="21"/>
      <c r="P28" s="22"/>
      <c r="R28" s="21"/>
      <c r="S28" s="22"/>
      <c r="T28" s="21"/>
      <c r="U28" s="75">
        <v>101.43129999999999</v>
      </c>
      <c r="V28" s="76">
        <v>101.16665</v>
      </c>
      <c r="W28" s="71">
        <v>-2.6091551621638676E-3</v>
      </c>
    </row>
    <row r="29" spans="1:23" x14ac:dyDescent="0.3">
      <c r="B29" s="11">
        <f t="shared" si="0"/>
        <v>3</v>
      </c>
      <c r="C29" s="64">
        <v>-1.4167160345377801E-2</v>
      </c>
      <c r="D29" s="65">
        <v>-1.4958454358976201E-2</v>
      </c>
      <c r="E29" s="65">
        <v>-2.9217749756934398E-2</v>
      </c>
      <c r="F29" s="65">
        <v>-1.9447788153762798E-2</v>
      </c>
      <c r="G29" s="70">
        <v>4.3331490338112344E-2</v>
      </c>
      <c r="H29" s="55"/>
      <c r="L29" s="21"/>
      <c r="M29" s="22"/>
      <c r="O29" s="21"/>
      <c r="P29" s="22"/>
      <c r="R29" s="21"/>
      <c r="S29" s="22"/>
      <c r="T29" s="21"/>
      <c r="U29" s="75">
        <v>102.0607</v>
      </c>
      <c r="V29" s="76">
        <v>101.12837</v>
      </c>
      <c r="W29" s="71">
        <v>-9.135053943388538E-3</v>
      </c>
    </row>
    <row r="30" spans="1:23" x14ac:dyDescent="0.3">
      <c r="B30" s="11">
        <f t="shared" si="0"/>
        <v>4</v>
      </c>
      <c r="C30" s="64">
        <v>6.4828719220299702E-2</v>
      </c>
      <c r="D30" s="65">
        <v>4.6848914802401602E-2</v>
      </c>
      <c r="E30" s="65">
        <v>4.1720339142208296E-2</v>
      </c>
      <c r="F30" s="65">
        <v>5.1132657721636533E-2</v>
      </c>
      <c r="G30" s="70">
        <v>0.16630725180165062</v>
      </c>
      <c r="H30" s="55"/>
      <c r="L30" s="21"/>
      <c r="M30" s="22"/>
      <c r="O30" s="21"/>
      <c r="P30" s="22"/>
      <c r="R30" s="21"/>
      <c r="S30" s="22"/>
      <c r="T30" s="21"/>
      <c r="U30" s="75">
        <v>102.69110000000001</v>
      </c>
      <c r="V30" s="76">
        <v>99.459131999999997</v>
      </c>
      <c r="W30" s="71">
        <v>-3.147271769413329E-2</v>
      </c>
    </row>
    <row r="31" spans="1:23" x14ac:dyDescent="0.3">
      <c r="A31" s="11">
        <f t="shared" ref="A31" si="6">A27+1</f>
        <v>2007</v>
      </c>
      <c r="B31" s="11">
        <f t="shared" si="0"/>
        <v>1</v>
      </c>
      <c r="C31" s="64">
        <v>-5.2689006233481396E-3</v>
      </c>
      <c r="D31" s="65">
        <v>-2.0524768679816102E-2</v>
      </c>
      <c r="E31" s="65">
        <v>-4.2900887285196899E-2</v>
      </c>
      <c r="F31" s="65">
        <v>-2.2898185529453715E-2</v>
      </c>
      <c r="G31" s="70">
        <v>6.6000000000000059E-2</v>
      </c>
      <c r="H31" s="55"/>
      <c r="L31" s="21"/>
      <c r="M31" s="22"/>
      <c r="O31" s="21"/>
      <c r="P31" s="22"/>
      <c r="R31" s="21"/>
      <c r="S31" s="22"/>
      <c r="T31" s="21"/>
      <c r="U31" s="75">
        <v>103.3216</v>
      </c>
      <c r="V31" s="76">
        <v>97.795766</v>
      </c>
      <c r="W31" s="71">
        <v>-5.3481885685084274E-2</v>
      </c>
    </row>
    <row r="32" spans="1:23" x14ac:dyDescent="0.3">
      <c r="B32" s="11">
        <f t="shared" si="0"/>
        <v>2</v>
      </c>
      <c r="C32" s="64">
        <v>2.4650345875763802E-2</v>
      </c>
      <c r="D32" s="65">
        <v>-2.6765821766510001E-3</v>
      </c>
      <c r="E32" s="65">
        <v>-2.3749979657084398E-2</v>
      </c>
      <c r="F32" s="65">
        <v>-5.9207198599053185E-4</v>
      </c>
      <c r="G32" s="70">
        <v>0.14182367441419852</v>
      </c>
      <c r="H32" s="55"/>
      <c r="L32" s="21"/>
      <c r="M32" s="22"/>
      <c r="O32" s="21"/>
      <c r="P32" s="22"/>
      <c r="R32" s="21"/>
      <c r="S32" s="22"/>
      <c r="T32" s="21"/>
      <c r="U32" s="75">
        <v>103.9517</v>
      </c>
      <c r="V32" s="76">
        <v>98.823991000000007</v>
      </c>
      <c r="W32" s="71">
        <v>-4.932780320090957E-2</v>
      </c>
    </row>
    <row r="33" spans="1:23" x14ac:dyDescent="0.3">
      <c r="B33" s="11">
        <f t="shared" si="0"/>
        <v>3</v>
      </c>
      <c r="C33" s="64">
        <v>2.4180583118418298E-2</v>
      </c>
      <c r="D33" s="65">
        <v>-7.0904717903472799E-3</v>
      </c>
      <c r="E33" s="65">
        <v>-2.60790568584537E-2</v>
      </c>
      <c r="F33" s="65">
        <v>-2.9963151767942267E-3</v>
      </c>
      <c r="G33" s="70">
        <v>0.11475641486861377</v>
      </c>
      <c r="H33" s="55"/>
      <c r="L33" s="21"/>
      <c r="M33" s="22"/>
      <c r="O33" s="21"/>
      <c r="P33" s="22"/>
      <c r="R33" s="21"/>
      <c r="S33" s="22"/>
      <c r="T33" s="21"/>
      <c r="U33" s="75">
        <v>104.5818</v>
      </c>
      <c r="V33" s="76">
        <v>99.314192000000006</v>
      </c>
      <c r="W33" s="71">
        <v>-5.0368305001443847E-2</v>
      </c>
    </row>
    <row r="34" spans="1:23" x14ac:dyDescent="0.3">
      <c r="B34" s="11">
        <f t="shared" si="0"/>
        <v>4</v>
      </c>
      <c r="C34" s="64">
        <v>5.3206711135819595E-2</v>
      </c>
      <c r="D34" s="65">
        <v>1.29130668779669E-2</v>
      </c>
      <c r="E34" s="65">
        <v>4.9900717969850001E-3</v>
      </c>
      <c r="F34" s="65">
        <v>2.3703283270257166E-2</v>
      </c>
      <c r="G34" s="70">
        <v>7.8564657978188679E-2</v>
      </c>
      <c r="H34" s="55"/>
      <c r="L34" s="21"/>
      <c r="M34" s="22"/>
      <c r="O34" s="21"/>
      <c r="P34" s="22"/>
      <c r="R34" s="21"/>
      <c r="S34" s="22"/>
      <c r="T34" s="21"/>
      <c r="U34" s="75">
        <v>105.2127</v>
      </c>
      <c r="V34" s="76">
        <v>98.894774999999996</v>
      </c>
      <c r="W34" s="71">
        <v>-6.0049072022674066E-2</v>
      </c>
    </row>
    <row r="35" spans="1:23" x14ac:dyDescent="0.3">
      <c r="A35" s="11">
        <f t="shared" ref="A35" si="7">A31+1</f>
        <v>2008</v>
      </c>
      <c r="B35" s="11">
        <f t="shared" si="0"/>
        <v>1</v>
      </c>
      <c r="C35" s="64">
        <v>5.7099063069777002E-2</v>
      </c>
      <c r="D35" s="65">
        <v>1.39552127733734E-2</v>
      </c>
      <c r="E35" s="65">
        <v>1.0154650623829899E-2</v>
      </c>
      <c r="F35" s="65">
        <v>2.7069642155660101E-2</v>
      </c>
      <c r="G35" s="70">
        <v>0.14500000000000002</v>
      </c>
      <c r="H35" s="55"/>
      <c r="L35" s="21"/>
      <c r="M35" s="22"/>
      <c r="O35" s="21"/>
      <c r="P35" s="22"/>
      <c r="R35" s="21"/>
      <c r="S35" s="22"/>
      <c r="T35" s="21"/>
      <c r="U35" s="75">
        <v>105.846</v>
      </c>
      <c r="V35" s="76">
        <v>99.555722000000003</v>
      </c>
      <c r="W35" s="71">
        <v>-5.9428584925268813E-2</v>
      </c>
    </row>
    <row r="36" spans="1:23" x14ac:dyDescent="0.3">
      <c r="B36" s="11">
        <f t="shared" si="0"/>
        <v>2</v>
      </c>
      <c r="C36" s="64">
        <v>3.3886637852428902E-2</v>
      </c>
      <c r="D36" s="65">
        <v>-3.0101435490405299E-3</v>
      </c>
      <c r="E36" s="65">
        <v>-1.6469834901583699E-2</v>
      </c>
      <c r="F36" s="65">
        <v>4.8022198006015581E-3</v>
      </c>
      <c r="G36" s="70">
        <v>8.5604374159565566E-2</v>
      </c>
      <c r="H36" s="55"/>
      <c r="L36" s="21"/>
      <c r="M36" s="22"/>
      <c r="O36" s="21"/>
      <c r="P36" s="22"/>
      <c r="R36" s="21"/>
      <c r="S36" s="22"/>
      <c r="T36" s="21"/>
      <c r="U36" s="75">
        <v>106.47929999999999</v>
      </c>
      <c r="V36" s="76">
        <v>110.69811</v>
      </c>
      <c r="W36" s="71">
        <v>3.9620940408135796E-2</v>
      </c>
    </row>
    <row r="37" spans="1:23" x14ac:dyDescent="0.3">
      <c r="B37" s="11">
        <f t="shared" si="0"/>
        <v>3</v>
      </c>
      <c r="C37" s="64">
        <v>4.0763781441955797E-2</v>
      </c>
      <c r="D37" s="65">
        <v>1.4983896121056699E-2</v>
      </c>
      <c r="E37" s="65">
        <v>-1.4178890962250099E-2</v>
      </c>
      <c r="F37" s="65">
        <v>1.3856262200254132E-2</v>
      </c>
      <c r="G37" s="70">
        <v>9.9743784450536443E-2</v>
      </c>
      <c r="H37" s="55"/>
      <c r="L37" s="21"/>
      <c r="M37" s="22"/>
      <c r="O37" s="21"/>
      <c r="P37" s="22"/>
      <c r="R37" s="21"/>
      <c r="S37" s="22"/>
      <c r="T37" s="21"/>
      <c r="U37" s="75">
        <v>107.11369999999999</v>
      </c>
      <c r="V37" s="76">
        <v>119.07043</v>
      </c>
      <c r="W37" s="71">
        <v>0.11162652396472161</v>
      </c>
    </row>
    <row r="38" spans="1:23" x14ac:dyDescent="0.3">
      <c r="B38" s="11">
        <f t="shared" si="0"/>
        <v>4</v>
      </c>
      <c r="C38" s="64">
        <v>3.2226906654411705E-2</v>
      </c>
      <c r="D38" s="65">
        <v>2.45441591226764E-2</v>
      </c>
      <c r="E38" s="65">
        <v>-2.5353511217752298E-2</v>
      </c>
      <c r="F38" s="65">
        <v>1.0472518186445269E-2</v>
      </c>
      <c r="G38" s="70">
        <v>5.3823909288113647E-2</v>
      </c>
      <c r="H38" s="55"/>
      <c r="L38" s="21"/>
      <c r="M38" s="22"/>
      <c r="O38" s="21"/>
      <c r="P38" s="22"/>
      <c r="R38" s="21"/>
      <c r="S38" s="22"/>
      <c r="T38" s="21"/>
      <c r="U38" s="75">
        <v>107.75239999999999</v>
      </c>
      <c r="V38" s="76">
        <v>120.68304999999999</v>
      </c>
      <c r="W38" s="71">
        <v>0.12000335955394026</v>
      </c>
    </row>
    <row r="39" spans="1:23" x14ac:dyDescent="0.3">
      <c r="A39" s="11">
        <f t="shared" ref="A39" si="8">A35+1</f>
        <v>2009</v>
      </c>
      <c r="B39" s="11">
        <f t="shared" si="0"/>
        <v>1</v>
      </c>
      <c r="C39" s="64">
        <v>-4.5284636434534994E-2</v>
      </c>
      <c r="D39" s="65">
        <v>-2.3854795822907299E-2</v>
      </c>
      <c r="E39" s="65">
        <v>-6.8719243100857905E-2</v>
      </c>
      <c r="F39" s="65">
        <v>-4.595289178610007E-2</v>
      </c>
      <c r="G39" s="70">
        <v>-2.300000000000002E-2</v>
      </c>
      <c r="H39" s="55"/>
      <c r="L39" s="21"/>
      <c r="M39" s="22"/>
      <c r="O39" s="21"/>
      <c r="P39" s="22"/>
      <c r="R39" s="21"/>
      <c r="S39" s="22"/>
      <c r="T39" s="21"/>
      <c r="U39" s="75">
        <v>108.3995</v>
      </c>
      <c r="V39" s="76">
        <v>102.07044</v>
      </c>
      <c r="W39" s="71">
        <v>-5.8386431671732741E-2</v>
      </c>
    </row>
    <row r="40" spans="1:23" x14ac:dyDescent="0.3">
      <c r="B40" s="11">
        <f t="shared" si="0"/>
        <v>2</v>
      </c>
      <c r="C40" s="64">
        <v>-4.9894212138012699E-2</v>
      </c>
      <c r="D40" s="65">
        <v>-1.35812021709668E-2</v>
      </c>
      <c r="E40" s="65">
        <v>-5.6121693032074899E-2</v>
      </c>
      <c r="F40" s="65">
        <v>-3.9865702447018134E-2</v>
      </c>
      <c r="G40" s="70">
        <v>-6.6159632074043184E-3</v>
      </c>
      <c r="H40" s="55"/>
      <c r="L40" s="21"/>
      <c r="M40" s="22"/>
      <c r="O40" s="21"/>
      <c r="P40" s="22"/>
      <c r="R40" s="21"/>
      <c r="S40" s="22"/>
      <c r="T40" s="21"/>
      <c r="U40" s="75">
        <v>109.06</v>
      </c>
      <c r="V40" s="76">
        <v>104.55777999999999</v>
      </c>
      <c r="W40" s="71">
        <v>-4.128204657986434E-2</v>
      </c>
    </row>
    <row r="41" spans="1:23" x14ac:dyDescent="0.3">
      <c r="B41" s="11">
        <f t="shared" si="0"/>
        <v>3</v>
      </c>
      <c r="C41" s="64">
        <v>-7.5666642077044294E-2</v>
      </c>
      <c r="D41" s="65">
        <v>-2.35793943799791E-2</v>
      </c>
      <c r="E41" s="65">
        <v>-6.8964873541621396E-2</v>
      </c>
      <c r="F41" s="65">
        <v>-5.6070303332881599E-2</v>
      </c>
      <c r="G41" s="70">
        <v>-2.9591352115193481E-2</v>
      </c>
      <c r="H41" s="55"/>
      <c r="L41" s="21"/>
      <c r="M41" s="22"/>
      <c r="O41" s="21"/>
      <c r="P41" s="22"/>
      <c r="R41" s="21"/>
      <c r="S41" s="22"/>
      <c r="T41" s="21"/>
      <c r="U41" s="75">
        <v>109.73699999999999</v>
      </c>
      <c r="V41" s="76">
        <v>100.19346</v>
      </c>
      <c r="W41" s="71">
        <v>-8.6967385658437868E-2</v>
      </c>
    </row>
    <row r="42" spans="1:23" x14ac:dyDescent="0.3">
      <c r="B42" s="11">
        <f t="shared" si="0"/>
        <v>4</v>
      </c>
      <c r="C42" s="64">
        <v>-2.4960483371262398E-2</v>
      </c>
      <c r="D42" s="65">
        <v>2.56510731002168E-2</v>
      </c>
      <c r="E42" s="65">
        <v>-1.6744319974846801E-2</v>
      </c>
      <c r="F42" s="65">
        <v>-5.351243415297466E-3</v>
      </c>
      <c r="G42" s="70">
        <v>8.3162069133968508E-4</v>
      </c>
      <c r="H42" s="55"/>
      <c r="L42" s="21"/>
      <c r="M42" s="22"/>
      <c r="O42" s="21"/>
      <c r="P42" s="22"/>
      <c r="R42" s="21"/>
      <c r="S42" s="22"/>
      <c r="T42" s="21"/>
      <c r="U42" s="75">
        <v>110.4282</v>
      </c>
      <c r="V42" s="76">
        <v>95.371522999999996</v>
      </c>
      <c r="W42" s="71">
        <v>-0.13634811578926409</v>
      </c>
    </row>
    <row r="43" spans="1:23" x14ac:dyDescent="0.3">
      <c r="A43" s="11">
        <f t="shared" ref="A43" si="9">A39+1</f>
        <v>2010</v>
      </c>
      <c r="B43" s="11">
        <f t="shared" si="0"/>
        <v>1</v>
      </c>
      <c r="C43" s="64">
        <v>-6.4422039355060801E-2</v>
      </c>
      <c r="D43" s="65">
        <v>-4.9815579090667101E-3</v>
      </c>
      <c r="E43" s="65">
        <v>-4.3727405090935097E-2</v>
      </c>
      <c r="F43" s="65">
        <v>-3.77103341183542E-2</v>
      </c>
      <c r="G43" s="70">
        <v>8.2000000000000073E-2</v>
      </c>
      <c r="H43" s="55"/>
      <c r="L43" s="21"/>
      <c r="M43" s="22"/>
      <c r="O43" s="21"/>
      <c r="P43" s="22"/>
      <c r="R43" s="21"/>
      <c r="S43" s="22"/>
      <c r="T43" s="21"/>
      <c r="U43" s="75">
        <v>111.1255</v>
      </c>
      <c r="V43" s="76">
        <v>100.92104999999999</v>
      </c>
      <c r="W43" s="71">
        <v>-9.1828158253506209E-2</v>
      </c>
    </row>
    <row r="44" spans="1:23" x14ac:dyDescent="0.3">
      <c r="B44" s="11">
        <f t="shared" si="0"/>
        <v>2</v>
      </c>
      <c r="C44" s="64">
        <v>-7.2904885338323303E-2</v>
      </c>
      <c r="D44" s="65">
        <v>-1.21470754708997E-2</v>
      </c>
      <c r="E44" s="65">
        <v>-4.2867096743428104E-2</v>
      </c>
      <c r="F44" s="65">
        <v>-4.26396858508837E-2</v>
      </c>
      <c r="G44" s="70">
        <v>6.2465507338123727E-2</v>
      </c>
      <c r="H44" s="55"/>
      <c r="L44" s="21"/>
      <c r="M44" s="22"/>
      <c r="O44" s="21"/>
      <c r="P44" s="22"/>
      <c r="R44" s="21"/>
      <c r="S44" s="22"/>
      <c r="T44" s="21"/>
      <c r="U44" s="75">
        <v>111.8184</v>
      </c>
      <c r="V44" s="76">
        <v>114.06809</v>
      </c>
      <c r="W44" s="71">
        <v>2.0119139604930947E-2</v>
      </c>
    </row>
    <row r="45" spans="1:23" x14ac:dyDescent="0.3">
      <c r="B45" s="11">
        <f t="shared" si="0"/>
        <v>3</v>
      </c>
      <c r="C45" s="64">
        <v>-6.3427464574533493E-2</v>
      </c>
      <c r="D45" s="65">
        <v>-9.3244021319667109E-3</v>
      </c>
      <c r="E45" s="65">
        <v>-2.7213835844975401E-2</v>
      </c>
      <c r="F45" s="65">
        <v>-3.3321900850491866E-2</v>
      </c>
      <c r="G45" s="70">
        <v>0.1203173064063725</v>
      </c>
      <c r="H45" s="55"/>
      <c r="L45" s="21"/>
      <c r="M45" s="22"/>
      <c r="O45" s="21"/>
      <c r="P45" s="22"/>
      <c r="R45" s="21"/>
      <c r="S45" s="22"/>
      <c r="T45" s="21"/>
      <c r="U45" s="75">
        <v>112.4918</v>
      </c>
      <c r="V45" s="76">
        <v>113.86389</v>
      </c>
      <c r="W45" s="71">
        <v>1.2197244599161827E-2</v>
      </c>
    </row>
    <row r="46" spans="1:23" x14ac:dyDescent="0.3">
      <c r="B46" s="11">
        <f t="shared" si="0"/>
        <v>4</v>
      </c>
      <c r="C46" s="64">
        <v>-8.1100605473031898E-2</v>
      </c>
      <c r="D46" s="65">
        <v>-3.5829481771593896E-2</v>
      </c>
      <c r="E46" s="65">
        <v>-4.1789746340615899E-2</v>
      </c>
      <c r="F46" s="65">
        <v>-5.2906611195080562E-2</v>
      </c>
      <c r="G46" s="70">
        <v>9.7698193475095341E-3</v>
      </c>
      <c r="H46" s="55"/>
      <c r="L46" s="21"/>
      <c r="M46" s="22"/>
      <c r="O46" s="21"/>
      <c r="P46" s="22"/>
      <c r="R46" s="21"/>
      <c r="S46" s="22"/>
      <c r="T46" s="21"/>
      <c r="U46" s="75">
        <v>113.1285</v>
      </c>
      <c r="V46" s="76">
        <v>116.01976000000001</v>
      </c>
      <c r="W46" s="71">
        <v>2.5557308724150074E-2</v>
      </c>
    </row>
    <row r="47" spans="1:23" x14ac:dyDescent="0.3">
      <c r="A47" s="11">
        <f t="shared" ref="A47" si="10">A43+1</f>
        <v>2011</v>
      </c>
      <c r="B47" s="11">
        <f t="shared" si="0"/>
        <v>1</v>
      </c>
      <c r="C47" s="64">
        <v>3.0786612705310202E-3</v>
      </c>
      <c r="D47" s="65">
        <v>2.23165337800364E-2</v>
      </c>
      <c r="E47" s="65">
        <v>3.2294377121863095E-2</v>
      </c>
      <c r="F47" s="65">
        <v>1.9229857390810172E-2</v>
      </c>
      <c r="G47" s="70">
        <v>0.19700000000000006</v>
      </c>
      <c r="H47" s="55"/>
      <c r="L47" s="21"/>
      <c r="M47" s="22"/>
      <c r="O47" s="21"/>
      <c r="P47" s="22"/>
      <c r="R47" s="21"/>
      <c r="S47" s="22"/>
      <c r="T47" s="21"/>
      <c r="U47" s="75">
        <v>113.71420000000001</v>
      </c>
      <c r="V47" s="76">
        <v>118.35019</v>
      </c>
      <c r="W47" s="71">
        <v>4.0768787011648433E-2</v>
      </c>
    </row>
    <row r="48" spans="1:23" x14ac:dyDescent="0.3">
      <c r="B48" s="11">
        <f t="shared" si="0"/>
        <v>2</v>
      </c>
      <c r="C48" s="64">
        <v>1.7470220414782002E-2</v>
      </c>
      <c r="D48" s="65">
        <v>2.4955868991077802E-2</v>
      </c>
      <c r="E48" s="65">
        <v>3.5859322722873399E-2</v>
      </c>
      <c r="F48" s="65">
        <v>2.6095137376244401E-2</v>
      </c>
      <c r="G48" s="70">
        <v>0.20191825546425823</v>
      </c>
      <c r="H48" s="55"/>
      <c r="L48" s="21"/>
      <c r="M48" s="22"/>
      <c r="O48" s="21"/>
      <c r="P48" s="22"/>
      <c r="R48" s="21"/>
      <c r="S48" s="22"/>
      <c r="T48" s="21"/>
      <c r="U48" s="75">
        <v>114.2353</v>
      </c>
      <c r="V48" s="76">
        <v>117.06194000000001</v>
      </c>
      <c r="W48" s="71">
        <v>2.4744015203706837E-2</v>
      </c>
    </row>
    <row r="49" spans="1:23" x14ac:dyDescent="0.3">
      <c r="B49" s="11">
        <f t="shared" si="0"/>
        <v>3</v>
      </c>
      <c r="C49" s="64">
        <v>2.5158495383614001E-2</v>
      </c>
      <c r="D49" s="65">
        <v>1.9284419073678002E-2</v>
      </c>
      <c r="E49" s="65">
        <v>3.2330048275174099E-2</v>
      </c>
      <c r="F49" s="65">
        <v>2.5590987577488702E-2</v>
      </c>
      <c r="G49" s="70">
        <v>0.21628860831274621</v>
      </c>
      <c r="H49" s="55"/>
      <c r="L49" s="21"/>
      <c r="M49" s="22"/>
      <c r="O49" s="21"/>
      <c r="P49" s="22"/>
      <c r="R49" s="21"/>
      <c r="S49" s="22"/>
      <c r="T49" s="21"/>
      <c r="U49" s="75">
        <v>114.68089999999999</v>
      </c>
      <c r="V49" s="76">
        <v>120.96836999999999</v>
      </c>
      <c r="W49" s="71">
        <v>5.4825781799759055E-2</v>
      </c>
    </row>
    <row r="50" spans="1:23" x14ac:dyDescent="0.3">
      <c r="B50" s="11">
        <f t="shared" si="0"/>
        <v>4</v>
      </c>
      <c r="C50" s="64">
        <v>-6.2351100453872696E-2</v>
      </c>
      <c r="D50" s="65">
        <v>-5.9959307414646598E-2</v>
      </c>
      <c r="E50" s="65">
        <v>-5.0198485983087703E-2</v>
      </c>
      <c r="F50" s="65">
        <v>-5.7502964617202335E-2</v>
      </c>
      <c r="G50" s="70">
        <v>9.2656590341996248E-2</v>
      </c>
      <c r="H50" s="55"/>
      <c r="L50" s="21"/>
      <c r="M50" s="22"/>
      <c r="O50" s="21"/>
      <c r="P50" s="22"/>
      <c r="R50" s="21"/>
      <c r="S50" s="22"/>
      <c r="T50" s="21"/>
      <c r="U50" s="75">
        <v>115.0441</v>
      </c>
      <c r="V50" s="76">
        <v>116.55186</v>
      </c>
      <c r="W50" s="71">
        <v>1.310593068223409E-2</v>
      </c>
    </row>
    <row r="51" spans="1:23" x14ac:dyDescent="0.3">
      <c r="A51" s="11">
        <f t="shared" ref="A51" si="11">A47+1</f>
        <v>2012</v>
      </c>
      <c r="B51" s="11">
        <f t="shared" si="0"/>
        <v>1</v>
      </c>
      <c r="C51" s="64">
        <v>5.9994812517772902E-2</v>
      </c>
      <c r="D51" s="65">
        <v>4.4691468614817299E-2</v>
      </c>
      <c r="E51" s="65">
        <v>5.5223514385950898E-2</v>
      </c>
      <c r="F51" s="65">
        <v>5.3303265172847038E-2</v>
      </c>
      <c r="G51" s="70">
        <v>0.18199999999999994</v>
      </c>
      <c r="H51" s="55"/>
      <c r="L51" s="21"/>
      <c r="M51" s="22"/>
      <c r="O51" s="21"/>
      <c r="P51" s="22"/>
      <c r="R51" s="21"/>
      <c r="S51" s="22"/>
      <c r="T51" s="21"/>
      <c r="U51" s="75">
        <v>115.31789999999999</v>
      </c>
      <c r="V51" s="76">
        <v>119.28111</v>
      </c>
      <c r="W51" s="71">
        <v>3.4367691399167066E-2</v>
      </c>
    </row>
    <row r="52" spans="1:23" x14ac:dyDescent="0.3">
      <c r="B52" s="11">
        <f t="shared" si="0"/>
        <v>2</v>
      </c>
      <c r="C52" s="64">
        <v>2.7429859717904001E-2</v>
      </c>
      <c r="D52" s="65">
        <v>1.6202193371999102E-2</v>
      </c>
      <c r="E52" s="65">
        <v>8.145905911923889E-3</v>
      </c>
      <c r="F52" s="65">
        <v>1.7259319667275664E-2</v>
      </c>
      <c r="G52" s="70">
        <v>0.10998071268373022</v>
      </c>
      <c r="H52" s="55"/>
      <c r="L52" s="21"/>
      <c r="M52" s="22"/>
      <c r="O52" s="21"/>
      <c r="P52" s="22"/>
      <c r="R52" s="21"/>
      <c r="S52" s="22"/>
      <c r="T52" s="21"/>
      <c r="U52" s="75">
        <v>115.49630000000001</v>
      </c>
      <c r="V52" s="76">
        <v>127.86291</v>
      </c>
      <c r="W52" s="71">
        <v>0.10707364651508322</v>
      </c>
    </row>
    <row r="53" spans="1:23" x14ac:dyDescent="0.3">
      <c r="B53" s="11">
        <f t="shared" si="0"/>
        <v>3</v>
      </c>
      <c r="C53" s="64">
        <v>-2.4532960015587801E-2</v>
      </c>
      <c r="D53" s="65">
        <v>-3.3611921338337597E-2</v>
      </c>
      <c r="E53" s="65">
        <v>-4.8595828642055201E-2</v>
      </c>
      <c r="F53" s="65">
        <v>-3.5580236665326864E-2</v>
      </c>
      <c r="G53" s="70">
        <v>5.7245886663271239E-2</v>
      </c>
      <c r="H53" s="55"/>
      <c r="L53" s="21"/>
      <c r="M53" s="22"/>
      <c r="O53" s="21"/>
      <c r="P53" s="22"/>
      <c r="R53" s="21"/>
      <c r="S53" s="22"/>
      <c r="T53" s="21"/>
      <c r="U53" s="75">
        <v>115.5754</v>
      </c>
      <c r="V53" s="76">
        <v>126.64154000000001</v>
      </c>
      <c r="W53" s="71">
        <v>9.5748230159705239E-2</v>
      </c>
    </row>
    <row r="54" spans="1:23" x14ac:dyDescent="0.3">
      <c r="B54" s="11">
        <f t="shared" si="0"/>
        <v>4</v>
      </c>
      <c r="C54" s="64">
        <v>1.33119683252584E-2</v>
      </c>
      <c r="D54" s="65">
        <v>-3.6318337738000402E-3</v>
      </c>
      <c r="E54" s="65">
        <v>-9.6718001724254796E-3</v>
      </c>
      <c r="F54" s="65">
        <v>2.7781263442934003E-6</v>
      </c>
      <c r="G54" s="70">
        <v>0.16330799500460236</v>
      </c>
      <c r="H54" s="55"/>
      <c r="L54" s="21"/>
      <c r="M54" s="22"/>
      <c r="O54" s="21"/>
      <c r="P54" s="22"/>
      <c r="R54" s="21"/>
      <c r="S54" s="22"/>
      <c r="T54" s="21"/>
      <c r="U54" s="75">
        <v>115.5565</v>
      </c>
      <c r="V54" s="76">
        <v>123.41057000000001</v>
      </c>
      <c r="W54" s="71">
        <v>6.7967357959093588E-2</v>
      </c>
    </row>
    <row r="55" spans="1:23" x14ac:dyDescent="0.3">
      <c r="A55" s="11">
        <f t="shared" ref="A55" si="12">A51+1</f>
        <v>2013</v>
      </c>
      <c r="B55" s="11">
        <f t="shared" si="0"/>
        <v>1</v>
      </c>
      <c r="C55" s="64">
        <v>3.4069191070400399E-2</v>
      </c>
      <c r="D55" s="65">
        <v>9.4736864265582196E-3</v>
      </c>
      <c r="E55" s="65">
        <v>9.4577846853598994E-3</v>
      </c>
      <c r="F55" s="65">
        <v>1.7666887394106174E-2</v>
      </c>
      <c r="G55" s="70">
        <v>7.4999999999999956E-2</v>
      </c>
      <c r="H55" s="55"/>
      <c r="L55" s="21"/>
      <c r="M55" s="22"/>
      <c r="O55" s="21"/>
      <c r="P55" s="22"/>
      <c r="R55" s="21"/>
      <c r="S55" s="22"/>
      <c r="T55" s="21"/>
      <c r="U55" s="75">
        <v>115.4461</v>
      </c>
      <c r="V55" s="76">
        <v>125.20766</v>
      </c>
      <c r="W55" s="71">
        <v>8.4555130056364058E-2</v>
      </c>
    </row>
    <row r="56" spans="1:23" x14ac:dyDescent="0.3">
      <c r="B56" s="11">
        <f t="shared" si="0"/>
        <v>2</v>
      </c>
      <c r="C56" s="64">
        <v>3.2577708249823402E-2</v>
      </c>
      <c r="D56" s="65">
        <v>2.26274927725255E-3</v>
      </c>
      <c r="E56" s="65">
        <v>3.1733932027907604E-3</v>
      </c>
      <c r="F56" s="65">
        <v>1.2671283576622236E-2</v>
      </c>
      <c r="G56" s="70">
        <v>9.5137438105344696E-2</v>
      </c>
      <c r="H56" s="55"/>
      <c r="L56" s="21"/>
      <c r="M56" s="22"/>
      <c r="O56" s="21"/>
      <c r="P56" s="22"/>
      <c r="R56" s="21"/>
      <c r="S56" s="22"/>
      <c r="T56" s="21"/>
      <c r="U56" s="75">
        <v>115.2522</v>
      </c>
      <c r="V56" s="76">
        <v>124.55416</v>
      </c>
      <c r="W56" s="71">
        <v>8.0709609013970951E-2</v>
      </c>
    </row>
    <row r="57" spans="1:23" x14ac:dyDescent="0.3">
      <c r="B57" s="11">
        <f t="shared" si="0"/>
        <v>3</v>
      </c>
      <c r="C57" s="64">
        <v>5.5516475955555498E-2</v>
      </c>
      <c r="D57" s="65">
        <v>1.8209538417416099E-2</v>
      </c>
      <c r="E57" s="65">
        <v>2.0855725592507902E-2</v>
      </c>
      <c r="F57" s="65">
        <v>3.1527246655159831E-2</v>
      </c>
      <c r="G57" s="70">
        <v>0.19984105707201971</v>
      </c>
      <c r="H57" s="55"/>
      <c r="L57" s="21"/>
      <c r="M57" s="22"/>
      <c r="O57" s="21"/>
      <c r="P57" s="22"/>
      <c r="R57" s="21"/>
      <c r="S57" s="22"/>
      <c r="T57" s="21"/>
      <c r="U57" s="75">
        <v>114.9863</v>
      </c>
      <c r="V57" s="76">
        <v>115.78662</v>
      </c>
      <c r="W57" s="71">
        <v>6.9601335115574425E-3</v>
      </c>
    </row>
    <row r="58" spans="1:23" x14ac:dyDescent="0.3">
      <c r="B58" s="11">
        <f t="shared" si="0"/>
        <v>4</v>
      </c>
      <c r="C58" s="64">
        <v>2.7378062553939299E-2</v>
      </c>
      <c r="D58" s="65">
        <v>-8.0357865436995E-3</v>
      </c>
      <c r="E58" s="65">
        <v>-1.52178374562588E-2</v>
      </c>
      <c r="F58" s="65">
        <v>1.3748128513270004E-3</v>
      </c>
      <c r="G58" s="70">
        <v>8.7846157954975856E-2</v>
      </c>
      <c r="H58" s="55"/>
      <c r="L58" s="21"/>
      <c r="M58" s="22"/>
      <c r="O58" s="21"/>
      <c r="P58" s="22"/>
      <c r="R58" s="21"/>
      <c r="S58" s="22"/>
      <c r="T58" s="21"/>
      <c r="U58" s="75">
        <v>114.66070000000001</v>
      </c>
      <c r="V58" s="76">
        <v>110.03328999999999</v>
      </c>
      <c r="W58" s="71">
        <v>-4.0357419761086533E-2</v>
      </c>
    </row>
    <row r="59" spans="1:23" x14ac:dyDescent="0.3">
      <c r="A59" s="11">
        <f t="shared" ref="A59" si="13">A55+1</f>
        <v>2014</v>
      </c>
      <c r="B59" s="11">
        <f t="shared" si="0"/>
        <v>1</v>
      </c>
      <c r="C59" s="64">
        <v>2.6284250580486002E-2</v>
      </c>
      <c r="D59" s="65">
        <v>-1.1112187134781E-2</v>
      </c>
      <c r="E59" s="65">
        <v>-1.4588981330196E-2</v>
      </c>
      <c r="F59" s="65">
        <v>1.9436070516966734E-4</v>
      </c>
      <c r="G59" s="70">
        <v>7.4999999999999956E-2</v>
      </c>
      <c r="H59" s="55"/>
      <c r="L59" s="21"/>
      <c r="M59" s="22"/>
      <c r="O59" s="21"/>
      <c r="P59" s="22"/>
      <c r="R59" s="21"/>
      <c r="S59" s="22"/>
      <c r="T59" s="21"/>
      <c r="U59" s="75">
        <v>114.28749999999999</v>
      </c>
      <c r="V59" s="76">
        <v>112.16407</v>
      </c>
      <c r="W59" s="71">
        <v>-1.8579722191840786E-2</v>
      </c>
    </row>
    <row r="60" spans="1:23" x14ac:dyDescent="0.3">
      <c r="B60" s="11">
        <f t="shared" si="0"/>
        <v>2</v>
      </c>
      <c r="C60" s="64">
        <v>4.3818011698197094E-2</v>
      </c>
      <c r="D60" s="65">
        <v>6.5699956907432399E-3</v>
      </c>
      <c r="E60" s="65">
        <v>8.9001936709208491E-3</v>
      </c>
      <c r="F60" s="65">
        <v>1.9762733686620394E-2</v>
      </c>
      <c r="G60" s="70">
        <v>9.1656505429415613E-2</v>
      </c>
      <c r="H60" s="55"/>
      <c r="L60" s="21"/>
      <c r="M60" s="22"/>
      <c r="O60" s="21"/>
      <c r="P60" s="22"/>
      <c r="R60" s="21"/>
      <c r="S60" s="22"/>
      <c r="T60" s="21"/>
      <c r="U60" s="75">
        <v>113.8788</v>
      </c>
      <c r="V60" s="76">
        <v>111.19202</v>
      </c>
      <c r="W60" s="71">
        <v>-2.3593329048075651E-2</v>
      </c>
    </row>
    <row r="61" spans="1:23" x14ac:dyDescent="0.3">
      <c r="B61" s="11">
        <f t="shared" si="0"/>
        <v>3</v>
      </c>
      <c r="C61" s="64">
        <v>7.5275331068275997E-2</v>
      </c>
      <c r="D61" s="65">
        <v>3.7342825180733098E-2</v>
      </c>
      <c r="E61" s="65">
        <v>4.4208151131802806E-2</v>
      </c>
      <c r="F61" s="65">
        <v>5.2275435793603962E-2</v>
      </c>
      <c r="G61" s="70">
        <v>0.10089858972202159</v>
      </c>
      <c r="H61" s="55"/>
      <c r="L61" s="21"/>
      <c r="M61" s="22"/>
      <c r="O61" s="21"/>
      <c r="P61" s="22"/>
      <c r="R61" s="21"/>
      <c r="S61" s="22"/>
      <c r="T61" s="21"/>
      <c r="U61" s="75">
        <v>113.4466</v>
      </c>
      <c r="V61" s="76">
        <v>111.16652000000001</v>
      </c>
      <c r="W61" s="71">
        <v>-2.0098266497188932E-2</v>
      </c>
    </row>
    <row r="62" spans="1:23" x14ac:dyDescent="0.3">
      <c r="B62" s="11">
        <f t="shared" si="0"/>
        <v>4</v>
      </c>
      <c r="C62" s="64">
        <v>8.8109396459708396E-3</v>
      </c>
      <c r="D62" s="65">
        <v>-1.4395851593084701E-2</v>
      </c>
      <c r="E62" s="65">
        <v>-1.9560283088577199E-2</v>
      </c>
      <c r="F62" s="65">
        <v>-8.381731678563686E-3</v>
      </c>
      <c r="G62" s="70">
        <v>4.7181282968049354E-2</v>
      </c>
      <c r="H62" s="55"/>
      <c r="L62" s="21"/>
      <c r="M62" s="22"/>
      <c r="O62" s="21"/>
      <c r="P62" s="22"/>
      <c r="R62" s="21"/>
      <c r="S62" s="22"/>
      <c r="T62" s="21"/>
      <c r="U62" s="75">
        <v>113.0003</v>
      </c>
      <c r="V62" s="76">
        <v>119.07223</v>
      </c>
      <c r="W62" s="71">
        <v>5.3733751149333209E-2</v>
      </c>
    </row>
    <row r="63" spans="1:23" x14ac:dyDescent="0.3">
      <c r="A63" s="11">
        <f t="shared" ref="A63" si="14">A59+1</f>
        <v>2015</v>
      </c>
      <c r="B63" s="11">
        <f t="shared" si="0"/>
        <v>1</v>
      </c>
      <c r="C63" s="64">
        <v>1.4218667862587601E-3</v>
      </c>
      <c r="D63" s="65">
        <v>-1.4730580202831E-2</v>
      </c>
      <c r="E63" s="65">
        <v>-1.1239838531339702E-2</v>
      </c>
      <c r="F63" s="65">
        <v>-8.1828506493039806E-3</v>
      </c>
      <c r="G63" s="70">
        <v>4.2000000000000037E-2</v>
      </c>
      <c r="H63" s="55"/>
      <c r="L63" s="21"/>
      <c r="M63" s="22"/>
      <c r="O63" s="21"/>
      <c r="P63" s="22"/>
      <c r="R63" s="21"/>
      <c r="S63" s="22"/>
      <c r="T63" s="21"/>
      <c r="U63" s="75">
        <v>112.5491</v>
      </c>
      <c r="V63" s="76">
        <v>121.40958000000001</v>
      </c>
      <c r="W63" s="71">
        <v>7.872546293128968E-2</v>
      </c>
    </row>
    <row r="64" spans="1:23" x14ac:dyDescent="0.3">
      <c r="B64" s="11">
        <f t="shared" si="0"/>
        <v>2</v>
      </c>
      <c r="C64" s="64">
        <v>6.5629102544062304E-3</v>
      </c>
      <c r="D64" s="65">
        <v>-5.3600086976745599E-4</v>
      </c>
      <c r="E64" s="65">
        <v>9.8249924726919808E-5</v>
      </c>
      <c r="F64" s="65">
        <v>2.0417197697885649E-3</v>
      </c>
      <c r="G64" s="70">
        <v>2.5445059594265684E-2</v>
      </c>
      <c r="H64" s="55"/>
      <c r="L64" s="21"/>
      <c r="M64" s="22"/>
      <c r="O64" s="21"/>
      <c r="P64" s="22"/>
      <c r="R64" s="21"/>
      <c r="S64" s="22"/>
      <c r="T64" s="21"/>
      <c r="U64" s="75">
        <v>112.1005</v>
      </c>
      <c r="V64" s="76">
        <v>120.25527</v>
      </c>
      <c r="W64" s="71">
        <v>7.2745170628141675E-2</v>
      </c>
    </row>
    <row r="65" spans="1:23" x14ac:dyDescent="0.3">
      <c r="B65" s="11">
        <f t="shared" si="0"/>
        <v>3</v>
      </c>
      <c r="C65" s="64">
        <v>3.23962594194745E-2</v>
      </c>
      <c r="D65" s="65">
        <v>2.9249943638122101E-2</v>
      </c>
      <c r="E65" s="65">
        <v>3.0493148104259297E-2</v>
      </c>
      <c r="F65" s="65">
        <v>3.0713117053951966E-2</v>
      </c>
      <c r="G65" s="70">
        <v>8.3665406396256081E-3</v>
      </c>
      <c r="H65" s="55"/>
      <c r="L65" s="21"/>
      <c r="M65" s="22"/>
      <c r="O65" s="21"/>
      <c r="P65" s="22"/>
      <c r="R65" s="21"/>
      <c r="S65" s="22"/>
      <c r="T65" s="21"/>
      <c r="U65" s="75">
        <v>111.6635</v>
      </c>
      <c r="V65" s="76">
        <v>121.33758</v>
      </c>
      <c r="W65" s="71">
        <v>8.663600908085467E-2</v>
      </c>
    </row>
    <row r="66" spans="1:23" x14ac:dyDescent="0.3">
      <c r="B66" s="11">
        <f t="shared" si="0"/>
        <v>4</v>
      </c>
      <c r="C66" s="64">
        <v>-2.37089278347207E-2</v>
      </c>
      <c r="D66" s="65">
        <v>-1.06999514004259E-2</v>
      </c>
      <c r="E66" s="65">
        <v>-2.2190837418092201E-2</v>
      </c>
      <c r="F66" s="65">
        <v>-1.8866572217746267E-2</v>
      </c>
      <c r="G66" s="70">
        <v>2.6762512792394499E-2</v>
      </c>
      <c r="H66" s="55"/>
      <c r="L66" s="21"/>
      <c r="M66" s="22"/>
      <c r="O66" s="21"/>
      <c r="P66" s="22"/>
      <c r="R66" s="21"/>
      <c r="S66" s="22"/>
      <c r="T66" s="21"/>
      <c r="U66" s="75">
        <v>111.24550000000001</v>
      </c>
      <c r="V66" s="76">
        <v>120.81667</v>
      </c>
      <c r="W66" s="71">
        <v>8.603646889087635E-2</v>
      </c>
    </row>
    <row r="67" spans="1:23" x14ac:dyDescent="0.3">
      <c r="A67" s="11">
        <f t="shared" ref="A67" si="15">A63+1</f>
        <v>2016</v>
      </c>
      <c r="B67" s="11">
        <f t="shared" si="0"/>
        <v>1</v>
      </c>
      <c r="C67" s="64">
        <v>-2.6391421701275699E-2</v>
      </c>
      <c r="D67" s="65">
        <v>-4.9742232605428397E-3</v>
      </c>
      <c r="E67" s="65">
        <v>-9.2116499120989803E-3</v>
      </c>
      <c r="F67" s="65">
        <v>-1.3525764957972508E-2</v>
      </c>
      <c r="G67" s="70">
        <v>2.5950500258072662E-2</v>
      </c>
      <c r="H67" s="55"/>
      <c r="L67" s="21"/>
      <c r="M67" s="22"/>
      <c r="O67" s="21"/>
      <c r="P67" s="22"/>
      <c r="R67" s="21"/>
      <c r="S67" s="22"/>
      <c r="T67" s="21"/>
      <c r="U67" s="75">
        <v>110.8558</v>
      </c>
      <c r="V67" s="76">
        <v>121.84125</v>
      </c>
      <c r="W67" s="71">
        <v>9.9096754522541852E-2</v>
      </c>
    </row>
    <row r="68" spans="1:23" x14ac:dyDescent="0.3">
      <c r="B68" s="11">
        <f t="shared" si="0"/>
        <v>2</v>
      </c>
      <c r="C68" s="64">
        <v>-3.6220582111011403E-2</v>
      </c>
      <c r="D68" s="65">
        <v>-8.2195585246207705E-3</v>
      </c>
      <c r="E68" s="65">
        <v>-1.83179157497106E-2</v>
      </c>
      <c r="F68" s="65">
        <v>-2.0919352128447592E-2</v>
      </c>
      <c r="G68" s="70">
        <v>9.1274546143615964E-3</v>
      </c>
      <c r="H68" s="55"/>
      <c r="L68" s="21"/>
      <c r="M68" s="22"/>
      <c r="O68" s="21"/>
      <c r="P68" s="22"/>
      <c r="R68" s="21"/>
      <c r="S68" s="22"/>
      <c r="T68" s="21"/>
      <c r="U68" s="75">
        <v>110.502</v>
      </c>
      <c r="V68" s="76">
        <v>121.72311000000001</v>
      </c>
      <c r="W68" s="71">
        <v>0.10154666883857311</v>
      </c>
    </row>
    <row r="69" spans="1:23" x14ac:dyDescent="0.3">
      <c r="B69" s="11">
        <f t="shared" si="0"/>
        <v>3</v>
      </c>
      <c r="C69" s="64">
        <v>-5.0149766589154293E-2</v>
      </c>
      <c r="D69" s="65">
        <v>-1.9715298030544601E-2</v>
      </c>
      <c r="E69" s="65">
        <v>-2.96311608290778E-2</v>
      </c>
      <c r="F69" s="65">
        <v>-3.3165408482925561E-2</v>
      </c>
      <c r="G69" s="70">
        <v>-4.9754784235286564E-2</v>
      </c>
      <c r="H69" s="55"/>
      <c r="L69" s="21"/>
      <c r="M69" s="22"/>
      <c r="O69" s="21"/>
      <c r="P69" s="22"/>
      <c r="R69" s="21"/>
      <c r="S69" s="22"/>
      <c r="T69" s="21"/>
      <c r="U69" s="75">
        <v>110.1908</v>
      </c>
      <c r="V69" s="76">
        <v>112.64867</v>
      </c>
      <c r="W69" s="71">
        <v>2.2305582680223646E-2</v>
      </c>
    </row>
    <row r="70" spans="1:23" x14ac:dyDescent="0.3">
      <c r="B70" s="11">
        <f t="shared" si="0"/>
        <v>4</v>
      </c>
      <c r="C70" s="64">
        <v>-4.4576090509599398E-3</v>
      </c>
      <c r="D70" s="65">
        <v>1.7038761975199899E-2</v>
      </c>
      <c r="E70" s="65">
        <v>2.1213610895658798E-2</v>
      </c>
      <c r="F70" s="65">
        <v>1.1264921273299587E-2</v>
      </c>
      <c r="G70" s="70">
        <v>8.0052112874260617E-2</v>
      </c>
      <c r="H70" s="55"/>
      <c r="L70" s="21"/>
      <c r="M70" s="22"/>
      <c r="O70" s="21"/>
      <c r="P70" s="15"/>
      <c r="Q70" s="16"/>
      <c r="R70" s="17"/>
      <c r="S70" s="22"/>
      <c r="T70" s="21"/>
      <c r="U70" s="75">
        <v>109.9284</v>
      </c>
      <c r="V70" s="76">
        <v>100.80471</v>
      </c>
      <c r="W70" s="71">
        <v>-8.2996659643913673E-2</v>
      </c>
    </row>
    <row r="71" spans="1:23" x14ac:dyDescent="0.3">
      <c r="A71" s="11">
        <f t="shared" ref="A71" si="16">A67+1</f>
        <v>2017</v>
      </c>
      <c r="B71" s="11">
        <f t="shared" si="0"/>
        <v>1</v>
      </c>
      <c r="C71" s="64">
        <v>-1.5429790920065901E-2</v>
      </c>
      <c r="D71" s="65">
        <v>4.2027221591806703E-3</v>
      </c>
      <c r="E71" s="65">
        <v>1.1420080146918098E-2</v>
      </c>
      <c r="F71" s="65">
        <v>6.433712867762291E-5</v>
      </c>
      <c r="G71" s="70">
        <v>5.7657097815768665E-2</v>
      </c>
      <c r="H71" s="55"/>
      <c r="L71" s="21"/>
      <c r="M71" s="22"/>
      <c r="O71" s="21"/>
      <c r="P71" s="15">
        <v>6.0999999999999999E-2</v>
      </c>
      <c r="Q71" s="16"/>
      <c r="R71" s="17"/>
      <c r="S71" s="22"/>
      <c r="T71" s="21"/>
      <c r="U71" s="75">
        <v>109.7191</v>
      </c>
      <c r="V71" s="76">
        <v>99.805193000000003</v>
      </c>
      <c r="W71" s="71">
        <v>-9.0357166619120965E-2</v>
      </c>
    </row>
    <row r="72" spans="1:23" x14ac:dyDescent="0.3">
      <c r="B72" s="11">
        <f t="shared" ref="B72:B106" si="17">B68</f>
        <v>2</v>
      </c>
      <c r="C72" s="64">
        <v>-1.89582728444452E-2</v>
      </c>
      <c r="D72" s="65">
        <v>-3.1803377301408199E-3</v>
      </c>
      <c r="E72" s="65">
        <v>9.5578034307839503E-3</v>
      </c>
      <c r="F72" s="65">
        <v>-4.1936023812673565E-3</v>
      </c>
      <c r="G72" s="70">
        <v>5.9545660081264051E-2</v>
      </c>
      <c r="H72" s="55"/>
      <c r="L72" s="21"/>
      <c r="M72" s="22"/>
      <c r="O72" s="21"/>
      <c r="P72" s="15">
        <v>2.7E-2</v>
      </c>
      <c r="Q72" s="16"/>
      <c r="R72" s="17">
        <v>1.7000000000000001E-2</v>
      </c>
      <c r="S72" s="22"/>
      <c r="T72" s="21"/>
      <c r="U72" s="75">
        <v>109.5641</v>
      </c>
      <c r="V72" s="76">
        <v>104.58295</v>
      </c>
      <c r="W72" s="71">
        <v>-4.5463340638037475E-2</v>
      </c>
    </row>
    <row r="73" spans="1:23" x14ac:dyDescent="0.3">
      <c r="B73" s="11">
        <f t="shared" si="17"/>
        <v>3</v>
      </c>
      <c r="C73" s="64">
        <v>-1.6611335455668199E-2</v>
      </c>
      <c r="D73" s="65">
        <v>-4.91938494499807E-3</v>
      </c>
      <c r="E73" s="65">
        <v>1.44021060421037E-2</v>
      </c>
      <c r="F73" s="65">
        <v>-2.3762047861875225E-3</v>
      </c>
      <c r="G73" s="70">
        <v>6.6514877442546139E-2</v>
      </c>
      <c r="H73" s="55"/>
      <c r="L73" s="21"/>
      <c r="M73" s="22"/>
      <c r="O73" s="21"/>
      <c r="P73" s="15">
        <v>2.9000000000000001E-2</v>
      </c>
      <c r="Q73" s="16">
        <v>5.0505617977528089E-2</v>
      </c>
      <c r="R73" s="17">
        <v>2.5000000000000001E-2</v>
      </c>
      <c r="S73" s="22"/>
      <c r="T73" s="21"/>
      <c r="U73" s="75">
        <v>109.4603</v>
      </c>
      <c r="V73" s="76">
        <v>101.71081</v>
      </c>
      <c r="W73" s="71">
        <v>-7.0797266223461941E-2</v>
      </c>
    </row>
    <row r="74" spans="1:23" x14ac:dyDescent="0.3">
      <c r="B74" s="11">
        <f t="shared" si="17"/>
        <v>4</v>
      </c>
      <c r="C74" s="64">
        <v>-1.11491242051897E-2</v>
      </c>
      <c r="D74" s="65">
        <v>-5.8227111610832704E-3</v>
      </c>
      <c r="E74" s="65">
        <v>1.5966415508642699E-2</v>
      </c>
      <c r="F74" s="65">
        <v>-3.3513995254342427E-4</v>
      </c>
      <c r="G74" s="70">
        <v>4.3241928995755963E-2</v>
      </c>
      <c r="H74" s="55"/>
      <c r="L74" s="21"/>
      <c r="M74" s="22"/>
      <c r="O74" s="21"/>
      <c r="P74" s="15">
        <v>4.1000000000000002E-2</v>
      </c>
      <c r="Q74" s="16">
        <v>5.5292479108635099E-2</v>
      </c>
      <c r="R74" s="17">
        <v>4.9000000000000002E-2</v>
      </c>
      <c r="S74" s="26">
        <v>3.7136987470487797E-3</v>
      </c>
      <c r="T74" s="27">
        <v>-8.1471903735509804E-2</v>
      </c>
      <c r="U74" s="75">
        <v>109.40309999999999</v>
      </c>
      <c r="V74" s="76">
        <v>101.19656999999999</v>
      </c>
      <c r="W74" s="71">
        <v>-7.5011859810188208E-2</v>
      </c>
    </row>
    <row r="75" spans="1:23" x14ac:dyDescent="0.3">
      <c r="A75" s="11">
        <f t="shared" ref="A75" si="18">A71+1</f>
        <v>2018</v>
      </c>
      <c r="B75" s="11">
        <f t="shared" si="17"/>
        <v>1</v>
      </c>
      <c r="C75" s="64">
        <v>5.7008504781288103E-3</v>
      </c>
      <c r="D75" s="65">
        <v>1.08236463502037E-3</v>
      </c>
      <c r="E75" s="65">
        <v>2.4572888197895503E-2</v>
      </c>
      <c r="F75" s="65">
        <v>1.0452034437014895E-2</v>
      </c>
      <c r="G75" s="70">
        <v>6.2830399705529283E-2</v>
      </c>
      <c r="H75" s="55"/>
      <c r="L75" s="21"/>
      <c r="M75" s="22"/>
      <c r="O75" s="21"/>
      <c r="P75" s="15">
        <v>5.0999999999999997E-2</v>
      </c>
      <c r="Q75" s="16">
        <v>6.0346820809248553E-2</v>
      </c>
      <c r="R75" s="17">
        <v>7.0000000000000007E-2</v>
      </c>
      <c r="S75" s="26">
        <v>3.3934186257064338E-3</v>
      </c>
      <c r="T75" s="27">
        <v>0</v>
      </c>
      <c r="U75" s="75">
        <v>109.3878</v>
      </c>
      <c r="V75" s="76">
        <v>100.38282</v>
      </c>
      <c r="W75" s="71">
        <v>-8.2321611733666811E-2</v>
      </c>
    </row>
    <row r="76" spans="1:23" x14ac:dyDescent="0.3">
      <c r="B76" s="11">
        <f t="shared" si="17"/>
        <v>2</v>
      </c>
      <c r="C76" s="64">
        <v>1.9511063633040001E-2</v>
      </c>
      <c r="D76" s="65">
        <v>3.5312328189699401E-3</v>
      </c>
      <c r="E76" s="65">
        <v>3.32721971288375E-2</v>
      </c>
      <c r="F76" s="65">
        <v>1.8771497860282479E-2</v>
      </c>
      <c r="G76" s="70">
        <v>7.3360158230179273E-2</v>
      </c>
      <c r="H76" s="55"/>
      <c r="L76" s="21"/>
      <c r="M76" s="22"/>
      <c r="O76" s="21"/>
      <c r="P76" s="15">
        <v>5.3999999999999999E-2</v>
      </c>
      <c r="Q76" s="16">
        <v>6.2114882506527413E-2</v>
      </c>
      <c r="R76" s="17">
        <v>6.0999999999999999E-2</v>
      </c>
      <c r="S76" s="26">
        <v>-8.1025507082027968E-3</v>
      </c>
      <c r="T76" s="27">
        <v>9.6965717990582963E-3</v>
      </c>
      <c r="U76" s="75">
        <v>109.4106</v>
      </c>
      <c r="V76" s="76">
        <v>104.39792</v>
      </c>
      <c r="W76" s="71">
        <v>-4.5815304915611477E-2</v>
      </c>
    </row>
    <row r="77" spans="1:23" x14ac:dyDescent="0.3">
      <c r="B77" s="11">
        <f t="shared" si="17"/>
        <v>3</v>
      </c>
      <c r="C77" s="64">
        <v>2.1660069820559298E-2</v>
      </c>
      <c r="D77" s="65">
        <v>-4.6741315775597706E-3</v>
      </c>
      <c r="E77" s="65">
        <v>2.6848139668639099E-2</v>
      </c>
      <c r="F77" s="65">
        <v>1.4611359303879542E-2</v>
      </c>
      <c r="G77" s="70">
        <v>7.0951234801895025E-2</v>
      </c>
      <c r="H77" s="55"/>
      <c r="L77" s="21"/>
      <c r="M77" s="22"/>
      <c r="O77" s="21"/>
      <c r="P77" s="15">
        <v>4.9000000000000002E-2</v>
      </c>
      <c r="Q77" s="16">
        <v>5.1652892561983473E-2</v>
      </c>
      <c r="R77" s="17">
        <v>6.5000000000000002E-2</v>
      </c>
      <c r="S77" s="26">
        <v>-0.15569418808836477</v>
      </c>
      <c r="T77" s="27">
        <v>-0.10053525509884964</v>
      </c>
      <c r="U77" s="75">
        <v>109.4665</v>
      </c>
      <c r="V77" s="76">
        <v>106.93814</v>
      </c>
      <c r="W77" s="71">
        <v>-2.3097111901814626E-2</v>
      </c>
    </row>
    <row r="78" spans="1:23" x14ac:dyDescent="0.3">
      <c r="B78" s="11">
        <f t="shared" si="17"/>
        <v>4</v>
      </c>
      <c r="C78" s="64">
        <v>4.06889833348077E-2</v>
      </c>
      <c r="D78" s="65">
        <v>2.7856767843323998E-3</v>
      </c>
      <c r="E78" s="65">
        <v>3.8796196219126999E-2</v>
      </c>
      <c r="F78" s="65">
        <v>2.7423618779422367E-2</v>
      </c>
      <c r="G78" s="70">
        <v>9.7166614680942454E-2</v>
      </c>
      <c r="H78" s="55"/>
      <c r="L78" s="21"/>
      <c r="M78" s="22"/>
      <c r="O78" s="21"/>
      <c r="P78" s="15">
        <v>4.5999999999999999E-2</v>
      </c>
      <c r="Q78" s="16">
        <v>5.569148936170213E-2</v>
      </c>
      <c r="R78" s="17">
        <v>0.08</v>
      </c>
      <c r="S78" s="26">
        <v>6.8044344492375716E-2</v>
      </c>
      <c r="T78" s="27">
        <v>-0.14094907264744566</v>
      </c>
      <c r="U78" s="75">
        <v>109.5502</v>
      </c>
      <c r="V78" s="76">
        <v>105.62224999999999</v>
      </c>
      <c r="W78" s="71">
        <v>-3.5855251747600736E-2</v>
      </c>
    </row>
    <row r="79" spans="1:23" x14ac:dyDescent="0.3">
      <c r="A79" s="11">
        <f t="shared" ref="A79" si="19">A75+1</f>
        <v>2019</v>
      </c>
      <c r="B79" s="11">
        <f t="shared" si="17"/>
        <v>1</v>
      </c>
      <c r="C79" s="64">
        <v>5.3781875474865001E-2</v>
      </c>
      <c r="D79" s="65">
        <v>9.3790414844966193E-3</v>
      </c>
      <c r="E79" s="65">
        <v>4.86423612669242E-2</v>
      </c>
      <c r="F79" s="65">
        <v>3.7267759408761938E-2</v>
      </c>
      <c r="G79" s="70">
        <v>8.6036207398989983E-2</v>
      </c>
      <c r="H79" s="55"/>
      <c r="L79" s="21"/>
      <c r="M79" s="22"/>
      <c r="O79" s="21"/>
      <c r="P79" s="15">
        <v>0.06</v>
      </c>
      <c r="Q79" s="16">
        <v>6.2762430939226524E-2</v>
      </c>
      <c r="R79" s="17">
        <v>7.5999999999999998E-2</v>
      </c>
      <c r="S79" s="26">
        <v>7.1628274675845432E-3</v>
      </c>
      <c r="T79" s="27">
        <v>5.8422073670348264E-3</v>
      </c>
      <c r="U79" s="75">
        <v>109.65479999999999</v>
      </c>
      <c r="V79" s="76">
        <v>104.20032999999999</v>
      </c>
      <c r="W79" s="71">
        <v>-4.9742190948321441E-2</v>
      </c>
    </row>
    <row r="80" spans="1:23" x14ac:dyDescent="0.3">
      <c r="B80" s="11">
        <f t="shared" si="17"/>
        <v>2</v>
      </c>
      <c r="C80" s="64">
        <v>6.3515792807738697E-2</v>
      </c>
      <c r="D80" s="65">
        <v>1.97672885163808E-2</v>
      </c>
      <c r="E80" s="65">
        <v>5.4554569171099097E-2</v>
      </c>
      <c r="F80" s="65">
        <v>4.5945883498406198E-2</v>
      </c>
      <c r="G80" s="70">
        <v>6.8478554734038966E-2</v>
      </c>
      <c r="H80" s="55"/>
      <c r="L80" s="21"/>
      <c r="M80" s="22"/>
      <c r="O80" s="21"/>
      <c r="P80" s="15">
        <v>0.06</v>
      </c>
      <c r="Q80" s="16">
        <v>6.4839650145772601E-2</v>
      </c>
      <c r="R80" s="17">
        <v>8.2000000000000003E-2</v>
      </c>
      <c r="S80" s="26">
        <v>0.1335868227455807</v>
      </c>
      <c r="T80" s="27">
        <v>-4.4400109639495283E-2</v>
      </c>
      <c r="U80" s="75">
        <v>109.7743</v>
      </c>
      <c r="V80" s="76">
        <v>107.31218</v>
      </c>
      <c r="W80" s="71">
        <v>-2.2428929175590251E-2</v>
      </c>
    </row>
    <row r="81" spans="1:23" x14ac:dyDescent="0.3">
      <c r="B81" s="11">
        <f t="shared" si="17"/>
        <v>3</v>
      </c>
      <c r="C81" s="64">
        <v>4.4945446590654602E-2</v>
      </c>
      <c r="D81" s="65">
        <v>1.73470570698744E-2</v>
      </c>
      <c r="E81" s="65">
        <v>3.2045369199360602E-2</v>
      </c>
      <c r="F81" s="65">
        <v>3.1445957619963202E-2</v>
      </c>
      <c r="G81" s="70">
        <v>5.4613556515804351E-2</v>
      </c>
      <c r="H81" s="55"/>
      <c r="L81" s="21"/>
      <c r="M81" s="22"/>
      <c r="O81" s="21"/>
      <c r="P81" s="15">
        <v>6.2E-2</v>
      </c>
      <c r="Q81" s="16">
        <v>6.580645161290323E-2</v>
      </c>
      <c r="R81" s="17">
        <v>7.8E-2</v>
      </c>
      <c r="S81" s="26">
        <v>-8.6698344381629572E-2</v>
      </c>
      <c r="T81" s="27">
        <v>3.6224673194373502E-2</v>
      </c>
      <c r="U81" s="75">
        <v>109.9019</v>
      </c>
      <c r="V81" s="76">
        <v>109.29978</v>
      </c>
      <c r="W81" s="71">
        <v>-5.4787041898274325E-3</v>
      </c>
    </row>
    <row r="82" spans="1:23" x14ac:dyDescent="0.3">
      <c r="B82" s="11">
        <f t="shared" si="17"/>
        <v>4</v>
      </c>
      <c r="C82" s="64">
        <v>3.5157737069328003E-2</v>
      </c>
      <c r="D82" s="65">
        <v>2.4607949531529498E-2</v>
      </c>
      <c r="E82" s="65">
        <v>1.7228291985245201E-2</v>
      </c>
      <c r="F82" s="65">
        <v>2.5664659528700898E-2</v>
      </c>
      <c r="G82" s="70">
        <v>2.6123001518421063E-2</v>
      </c>
      <c r="H82" s="55"/>
      <c r="L82" s="21"/>
      <c r="M82" s="22"/>
      <c r="O82" s="21"/>
      <c r="P82" s="15">
        <v>6.9000000000000006E-2</v>
      </c>
      <c r="Q82" s="16">
        <v>7.0271002710027106E-2</v>
      </c>
      <c r="R82" s="17">
        <v>8.5999999999999993E-2</v>
      </c>
      <c r="S82" s="26">
        <v>2.3647818943179581E-3</v>
      </c>
      <c r="T82" s="27">
        <v>1.4560006886681527E-2</v>
      </c>
      <c r="U82" s="75">
        <v>110.03230000000001</v>
      </c>
      <c r="V82" s="76">
        <v>105.31063</v>
      </c>
      <c r="W82" s="71">
        <v>-4.2911672299861037E-2</v>
      </c>
    </row>
    <row r="83" spans="1:23" x14ac:dyDescent="0.3">
      <c r="A83" s="11">
        <f t="shared" ref="A83" si="20">A79+1</f>
        <v>2020</v>
      </c>
      <c r="B83" s="11">
        <f t="shared" si="17"/>
        <v>1</v>
      </c>
      <c r="C83" s="64">
        <v>-8.2270208086783897E-2</v>
      </c>
      <c r="D83" s="65">
        <v>-6.27473143592511E-2</v>
      </c>
      <c r="E83" s="65">
        <v>-9.3041576320074593E-2</v>
      </c>
      <c r="F83" s="65">
        <v>-7.9353032922036534E-2</v>
      </c>
      <c r="G83" s="70">
        <v>-0.10125209874591101</v>
      </c>
      <c r="H83" s="55"/>
      <c r="L83" s="21"/>
      <c r="M83" s="22"/>
      <c r="O83" s="21"/>
      <c r="P83" s="15">
        <v>7.0000000000000007E-2</v>
      </c>
      <c r="Q83" s="16">
        <v>7.9321608040201011E-2</v>
      </c>
      <c r="R83" s="17">
        <v>8.1000000000000003E-2</v>
      </c>
      <c r="S83" s="26">
        <v>1.3627001592894018E-2</v>
      </c>
      <c r="T83" s="27">
        <v>0.16398197373948545</v>
      </c>
      <c r="U83" s="75">
        <v>110.1619</v>
      </c>
      <c r="V83" s="76">
        <v>104.02099</v>
      </c>
      <c r="W83" s="71">
        <v>-5.5744408910884835E-2</v>
      </c>
    </row>
    <row r="84" spans="1:23" x14ac:dyDescent="0.3">
      <c r="B84" s="11">
        <f t="shared" si="17"/>
        <v>2</v>
      </c>
      <c r="C84" s="64">
        <v>-3.9154104802330496E-2</v>
      </c>
      <c r="D84" s="65">
        <v>-2.0523355879625699E-2</v>
      </c>
      <c r="E84" s="65">
        <v>-4.6920461476178801E-2</v>
      </c>
      <c r="F84" s="65">
        <v>-3.5532640719378332E-2</v>
      </c>
      <c r="G84" s="70">
        <v>-8.1628346440011601E-2</v>
      </c>
      <c r="H84" s="55"/>
      <c r="L84" s="21"/>
      <c r="M84" s="22"/>
      <c r="O84" s="21"/>
      <c r="P84" s="15">
        <v>6.8000000000000005E-2</v>
      </c>
      <c r="Q84" s="16">
        <v>7.517060367454069E-2</v>
      </c>
      <c r="R84" s="17">
        <v>7.3999999999999996E-2</v>
      </c>
      <c r="S84" s="26">
        <v>-5.4359393599329293E-2</v>
      </c>
      <c r="T84" s="27">
        <v>-5.5125258996226896E-2</v>
      </c>
      <c r="U84" s="75">
        <v>110.28749999999999</v>
      </c>
      <c r="V84" s="76">
        <v>105.65561</v>
      </c>
      <c r="W84" s="71">
        <v>-4.1998322566020652E-2</v>
      </c>
    </row>
    <row r="85" spans="1:23" x14ac:dyDescent="0.3">
      <c r="B85" s="11">
        <f t="shared" si="17"/>
        <v>3</v>
      </c>
      <c r="C85" s="64">
        <v>-8.3725604390701806E-3</v>
      </c>
      <c r="D85" s="65">
        <v>5.6405980806904501E-3</v>
      </c>
      <c r="E85" s="65">
        <v>-8.7501691607946991E-3</v>
      </c>
      <c r="F85" s="65">
        <v>-3.8273771730581428E-3</v>
      </c>
      <c r="G85" s="70">
        <v>-2.6437354814154324E-2</v>
      </c>
      <c r="H85" s="55"/>
      <c r="L85" s="21"/>
      <c r="M85" s="22"/>
      <c r="O85" s="21"/>
      <c r="P85" s="15">
        <v>6.2E-2</v>
      </c>
      <c r="Q85" s="16">
        <v>6.3955431754874656E-2</v>
      </c>
      <c r="R85" s="17">
        <v>7.1999999999999995E-2</v>
      </c>
      <c r="S85" s="26">
        <v>5.0890588437292383E-2</v>
      </c>
      <c r="T85" s="27">
        <v>0.14584548307950043</v>
      </c>
      <c r="U85" s="75">
        <v>110.40949999999999</v>
      </c>
      <c r="V85" s="76">
        <v>102.61376</v>
      </c>
      <c r="W85" s="71">
        <v>-7.0607511129024192E-2</v>
      </c>
    </row>
    <row r="86" spans="1:23" x14ac:dyDescent="0.3">
      <c r="B86" s="11">
        <f t="shared" si="17"/>
        <v>4</v>
      </c>
      <c r="C86" s="64">
        <v>1.56242375875558E-2</v>
      </c>
      <c r="D86" s="65">
        <v>2.36836149508758E-2</v>
      </c>
      <c r="E86" s="65">
        <v>2.7602613782647199E-2</v>
      </c>
      <c r="F86" s="65">
        <v>2.2303488773692936E-2</v>
      </c>
      <c r="G86" s="70">
        <v>1.0322976787246807E-2</v>
      </c>
      <c r="H86" s="55"/>
      <c r="L86" s="21"/>
      <c r="M86" s="22"/>
      <c r="O86" s="21"/>
      <c r="P86" s="15">
        <v>0.04</v>
      </c>
      <c r="Q86" s="16">
        <v>3.0136363636363635E-2</v>
      </c>
      <c r="R86" s="17">
        <v>4.5999999999999999E-2</v>
      </c>
      <c r="S86" s="26">
        <v>0.1590935518571551</v>
      </c>
      <c r="T86" s="27">
        <v>5.7267145696543925E-2</v>
      </c>
      <c r="U86" s="75">
        <v>110.5265</v>
      </c>
      <c r="V86" s="76">
        <v>99.193387999999999</v>
      </c>
      <c r="W86" s="71">
        <v>-0.10253750910415149</v>
      </c>
    </row>
    <row r="87" spans="1:23" x14ac:dyDescent="0.3">
      <c r="A87" s="11">
        <f t="shared" ref="A87" si="21">A83+1</f>
        <v>2021</v>
      </c>
      <c r="B87" s="11">
        <f t="shared" si="17"/>
        <v>1</v>
      </c>
      <c r="C87" s="64">
        <v>2.6259163468646398E-2</v>
      </c>
      <c r="D87" s="65">
        <v>3.4536146506571601E-2</v>
      </c>
      <c r="E87" s="65">
        <v>3.8641412097593503E-2</v>
      </c>
      <c r="F87" s="65">
        <v>3.3145574024270499E-2</v>
      </c>
      <c r="G87" s="70">
        <v>0.14824732143835528</v>
      </c>
      <c r="H87" s="55"/>
      <c r="I87" s="29">
        <v>40.227056096759142</v>
      </c>
      <c r="J87" s="29">
        <v>28.746206972915456</v>
      </c>
      <c r="K87" s="29">
        <v>31.908303112300583</v>
      </c>
      <c r="L87" s="30">
        <v>28.940144341964597</v>
      </c>
      <c r="M87" s="22"/>
      <c r="O87" s="30"/>
      <c r="P87" s="15">
        <v>2.9000000000000001E-2</v>
      </c>
      <c r="Q87" s="16">
        <v>3.7195704057279233E-2</v>
      </c>
      <c r="R87" s="17">
        <v>3.3416666666666671E-2</v>
      </c>
      <c r="S87" s="26">
        <v>-8.6707857707743557E-2</v>
      </c>
      <c r="T87" s="27">
        <v>-0.17588830035142408</v>
      </c>
      <c r="U87" s="75">
        <v>110.6348</v>
      </c>
      <c r="V87" s="76">
        <v>98.900369999999995</v>
      </c>
      <c r="W87" s="71">
        <v>-0.1060645475022326</v>
      </c>
    </row>
    <row r="88" spans="1:23" x14ac:dyDescent="0.3">
      <c r="B88" s="11">
        <f t="shared" si="17"/>
        <v>2</v>
      </c>
      <c r="C88" s="64">
        <v>-5.2401221149952999E-2</v>
      </c>
      <c r="D88" s="65">
        <v>-2.5289013319806999E-2</v>
      </c>
      <c r="E88" s="65">
        <v>-4.1057409302980998E-2</v>
      </c>
      <c r="F88" s="65">
        <v>-3.9582547924247001E-2</v>
      </c>
      <c r="G88" s="70">
        <v>6.1412413265258259E-3</v>
      </c>
      <c r="H88" s="55"/>
      <c r="I88" s="29">
        <v>44.243353762897371</v>
      </c>
      <c r="J88" s="29">
        <v>37.407327506333779</v>
      </c>
      <c r="K88" s="29">
        <v>37.504940080022223</v>
      </c>
      <c r="L88" s="30">
        <v>39.037226233235081</v>
      </c>
      <c r="M88" s="22"/>
      <c r="O88" s="30"/>
      <c r="P88" s="15">
        <v>3.1159999999999997E-2</v>
      </c>
      <c r="Q88" s="16">
        <v>1.8822355289421153E-2</v>
      </c>
      <c r="R88" s="17">
        <v>5.8812175000000001E-2</v>
      </c>
      <c r="S88" s="26">
        <v>-5.5899887212443704E-2</v>
      </c>
      <c r="T88" s="27">
        <v>2.9282576160968118E-2</v>
      </c>
      <c r="U88" s="75">
        <v>110.72920000000001</v>
      </c>
      <c r="V88" s="76">
        <v>101.79625</v>
      </c>
      <c r="W88" s="71">
        <v>-8.0673842130169815E-2</v>
      </c>
    </row>
    <row r="89" spans="1:23" x14ac:dyDescent="0.3">
      <c r="B89" s="11">
        <f t="shared" si="17"/>
        <v>3</v>
      </c>
      <c r="C89" s="64">
        <v>-4.5834166330641898E-2</v>
      </c>
      <c r="D89" s="65">
        <v>-1.12717994340483E-2</v>
      </c>
      <c r="E89" s="65">
        <v>-4.3999286506306197E-2</v>
      </c>
      <c r="F89" s="65">
        <v>-3.37017507569988E-2</v>
      </c>
      <c r="G89" s="70">
        <v>-6.2749692266765855E-3</v>
      </c>
      <c r="H89" s="55"/>
      <c r="I89" s="29">
        <v>46.184005771557061</v>
      </c>
      <c r="J89" s="29">
        <v>36.095705943794407</v>
      </c>
      <c r="K89" s="29">
        <v>41.709740184747716</v>
      </c>
      <c r="L89" s="30">
        <v>40.708777885987594</v>
      </c>
      <c r="M89" s="22"/>
      <c r="O89" s="30"/>
      <c r="P89" s="15">
        <v>8.7126168224299083E-2</v>
      </c>
      <c r="Q89" s="16">
        <v>4.5155279503105591E-2</v>
      </c>
      <c r="R89" s="17">
        <v>7.390909090909091E-2</v>
      </c>
      <c r="S89" s="26">
        <v>-3.4707136395974621E-2</v>
      </c>
      <c r="T89" s="27">
        <v>-2.7494336710494744E-2</v>
      </c>
      <c r="U89" s="75">
        <v>110.8047</v>
      </c>
      <c r="V89" s="76">
        <v>105.02596</v>
      </c>
      <c r="W89" s="71">
        <v>-5.2152480896568432E-2</v>
      </c>
    </row>
    <row r="90" spans="1:23" x14ac:dyDescent="0.3">
      <c r="B90" s="11">
        <f t="shared" si="17"/>
        <v>4</v>
      </c>
      <c r="C90" s="64">
        <v>-5.17732757344651E-2</v>
      </c>
      <c r="D90" s="65">
        <v>-1.1765376794928499E-2</v>
      </c>
      <c r="E90" s="65">
        <v>-4.5718785196929498E-2</v>
      </c>
      <c r="F90" s="65">
        <v>-3.6419145908774368E-2</v>
      </c>
      <c r="G90" s="70">
        <v>-3.3634437586760213E-2</v>
      </c>
      <c r="H90" s="55"/>
      <c r="I90" s="29">
        <v>44.452879038622953</v>
      </c>
      <c r="J90" s="29">
        <v>30.748169375502794</v>
      </c>
      <c r="K90" s="29">
        <v>42.573257671851927</v>
      </c>
      <c r="L90" s="30">
        <v>40.443554939732081</v>
      </c>
      <c r="M90" s="22"/>
      <c r="O90" s="30"/>
      <c r="P90" s="15">
        <v>8.1488833746898276E-2</v>
      </c>
      <c r="Q90" s="16">
        <v>5.0130718954248379E-2</v>
      </c>
      <c r="R90" s="17">
        <v>9.6000000000000002E-2</v>
      </c>
      <c r="S90" s="26">
        <v>-0.23735708705352279</v>
      </c>
      <c r="T90" s="27">
        <v>-0.16712687620720543</v>
      </c>
      <c r="U90" s="75">
        <v>110.8549</v>
      </c>
      <c r="V90" s="76">
        <v>105.63021000000001</v>
      </c>
      <c r="W90" s="71">
        <v>-4.7130889117215302E-2</v>
      </c>
    </row>
    <row r="91" spans="1:23" x14ac:dyDescent="0.3">
      <c r="A91" s="11">
        <f t="shared" ref="A91" si="22">A87+1</f>
        <v>2022</v>
      </c>
      <c r="B91" s="11">
        <f t="shared" si="17"/>
        <v>1</v>
      </c>
      <c r="C91" s="64">
        <v>-4.6624149360811697E-2</v>
      </c>
      <c r="D91" s="65">
        <v>-1.01224268646472E-2</v>
      </c>
      <c r="E91" s="65">
        <v>-4.3745590917309098E-2</v>
      </c>
      <c r="F91" s="65">
        <v>-3.3497389047589331E-2</v>
      </c>
      <c r="G91" s="70">
        <v>-3.8095553121449521E-2</v>
      </c>
      <c r="H91" s="55"/>
      <c r="I91" s="29">
        <v>35.626438101461147</v>
      </c>
      <c r="J91" s="29">
        <v>36.859077381298739</v>
      </c>
      <c r="K91" s="29">
        <v>35.053707943347774</v>
      </c>
      <c r="L91" s="30">
        <v>39.084199074885426</v>
      </c>
      <c r="M91" s="28">
        <v>103.48211518561132</v>
      </c>
      <c r="N91" s="29">
        <v>113.95409181916231</v>
      </c>
      <c r="O91" s="30"/>
      <c r="P91" s="15">
        <v>0.10159065628476084</v>
      </c>
      <c r="Q91" s="16">
        <v>8.7014925373134322E-2</v>
      </c>
      <c r="R91" s="17">
        <v>0.15736329564986409</v>
      </c>
      <c r="S91" s="26">
        <v>5.7775740611057412E-2</v>
      </c>
      <c r="T91" s="27">
        <v>4.1844023094048895E-2</v>
      </c>
      <c r="U91" s="75">
        <v>110.87520000000001</v>
      </c>
      <c r="V91" s="76">
        <v>109.93526</v>
      </c>
      <c r="W91" s="71">
        <v>-8.4774593416743205E-3</v>
      </c>
    </row>
    <row r="92" spans="1:23" x14ac:dyDescent="0.3">
      <c r="B92" s="11">
        <f t="shared" si="17"/>
        <v>2</v>
      </c>
      <c r="C92" s="64">
        <v>-1.7841658470047098E-2</v>
      </c>
      <c r="D92" s="65">
        <v>8.7505873859238005E-3</v>
      </c>
      <c r="E92" s="65">
        <v>-2.37782596736257E-2</v>
      </c>
      <c r="F92" s="65">
        <v>-1.0956443585916333E-2</v>
      </c>
      <c r="G92" s="70">
        <v>6.448018571610481E-2</v>
      </c>
      <c r="H92" s="55"/>
      <c r="I92" s="29">
        <v>45.852789626731358</v>
      </c>
      <c r="J92" s="29">
        <v>35.046907738409729</v>
      </c>
      <c r="K92" s="29">
        <v>45.435578665262035</v>
      </c>
      <c r="L92" s="30">
        <v>50.490893144792452</v>
      </c>
      <c r="M92" s="28">
        <v>94.478759292358717</v>
      </c>
      <c r="N92" s="29">
        <v>106.67177250206066</v>
      </c>
      <c r="O92" s="30">
        <v>144.12661409425749</v>
      </c>
      <c r="P92" s="15">
        <v>0.11389908256880735</v>
      </c>
      <c r="Q92" s="16">
        <v>9.1283582089552256E-2</v>
      </c>
      <c r="R92" s="17">
        <v>0.15199499999999999</v>
      </c>
      <c r="S92" s="26">
        <v>0.39256953990604082</v>
      </c>
      <c r="T92" s="27">
        <v>0.2397641165469043</v>
      </c>
      <c r="U92" s="75">
        <v>110.86960000000001</v>
      </c>
      <c r="V92" s="76">
        <v>105.25172999999999</v>
      </c>
      <c r="W92" s="71">
        <v>-5.0670968416951179E-2</v>
      </c>
    </row>
    <row r="93" spans="1:23" x14ac:dyDescent="0.3">
      <c r="B93" s="11">
        <f t="shared" si="17"/>
        <v>3</v>
      </c>
      <c r="C93" s="64">
        <v>-1.6189631118008901E-2</v>
      </c>
      <c r="D93" s="65">
        <v>3.4490541460165504E-3</v>
      </c>
      <c r="E93" s="65">
        <v>-2.2609943924550301E-2</v>
      </c>
      <c r="F93" s="65">
        <v>-1.1783506965514218E-2</v>
      </c>
      <c r="G93" s="70">
        <v>7.1405803200968565E-2</v>
      </c>
      <c r="H93" s="55"/>
      <c r="I93" s="29">
        <v>46.880518810334245</v>
      </c>
      <c r="J93" s="29">
        <v>35.921809849138093</v>
      </c>
      <c r="K93" s="29">
        <v>38.246572584760827</v>
      </c>
      <c r="L93" s="30">
        <v>46.414536258017556</v>
      </c>
      <c r="M93" s="28">
        <v>91.435207843890566</v>
      </c>
      <c r="N93" s="29">
        <v>101.58650765885073</v>
      </c>
      <c r="O93" s="30">
        <v>126.75547239086688</v>
      </c>
      <c r="P93" s="15">
        <v>0.15229698375870065</v>
      </c>
      <c r="Q93" s="16">
        <v>6.7599999999999993E-2</v>
      </c>
      <c r="R93" s="17">
        <v>0.15404090591305156</v>
      </c>
      <c r="S93" s="26">
        <v>0.5075609544784786</v>
      </c>
      <c r="T93" s="27">
        <v>0.19487802514936675</v>
      </c>
      <c r="U93" s="75">
        <v>110.84569999999999</v>
      </c>
      <c r="V93" s="76">
        <v>104.8873</v>
      </c>
      <c r="W93" s="71">
        <v>-5.3754002185019356E-2</v>
      </c>
    </row>
    <row r="94" spans="1:23" x14ac:dyDescent="0.3">
      <c r="B94" s="11">
        <f t="shared" si="17"/>
        <v>4</v>
      </c>
      <c r="C94" s="64">
        <v>-1.51174988913476E-2</v>
      </c>
      <c r="D94" s="65">
        <v>-2.4809170454059299E-3</v>
      </c>
      <c r="E94" s="65">
        <v>-1.8426672698750299E-2</v>
      </c>
      <c r="F94" s="65">
        <v>-1.2008362878501275E-2</v>
      </c>
      <c r="G94" s="70">
        <v>8.092156804233186E-2</v>
      </c>
      <c r="H94" s="55"/>
      <c r="I94" s="29">
        <v>53.093464741891225</v>
      </c>
      <c r="J94" s="29">
        <v>30.383451652389599</v>
      </c>
      <c r="K94" s="29">
        <v>42.486968458719502</v>
      </c>
      <c r="L94" s="30">
        <v>46.850534316668771</v>
      </c>
      <c r="M94" s="28">
        <v>95.100391614815962</v>
      </c>
      <c r="N94" s="29">
        <v>114.48355222803437</v>
      </c>
      <c r="O94" s="30">
        <v>125.50912835857473</v>
      </c>
      <c r="P94" s="15">
        <v>0.14295918367346935</v>
      </c>
      <c r="Q94" s="16">
        <v>6.8903225806451612E-2</v>
      </c>
      <c r="R94" s="17">
        <v>0.14597207944716406</v>
      </c>
      <c r="S94" s="26">
        <v>-0.24003698880424454</v>
      </c>
      <c r="T94" s="27">
        <v>-0.16545134685445864</v>
      </c>
      <c r="U94" s="75">
        <v>110.8108</v>
      </c>
      <c r="V94" s="76">
        <v>102.70138</v>
      </c>
      <c r="W94" s="71">
        <v>-7.3182577871470977E-2</v>
      </c>
    </row>
    <row r="95" spans="1:23" x14ac:dyDescent="0.3">
      <c r="A95" s="11">
        <f t="shared" ref="A95" si="23">A91+1</f>
        <v>2023</v>
      </c>
      <c r="B95" s="11">
        <f t="shared" si="17"/>
        <v>1</v>
      </c>
      <c r="C95" s="64">
        <v>-1.10361024482836E-2</v>
      </c>
      <c r="D95" s="65">
        <v>-4.9613420847031998E-3</v>
      </c>
      <c r="E95" s="65">
        <v>-1.09926888357824E-2</v>
      </c>
      <c r="F95" s="65">
        <v>-8.9967111229230668E-3</v>
      </c>
      <c r="G95" s="70">
        <v>7.9735221816002344E-2</v>
      </c>
      <c r="H95" s="55"/>
      <c r="I95" s="29">
        <v>50.21175914663629</v>
      </c>
      <c r="J95" s="29">
        <v>47.443730199844161</v>
      </c>
      <c r="K95" s="29">
        <v>56.185910964943716</v>
      </c>
      <c r="L95" s="30">
        <v>50.476457390223359</v>
      </c>
      <c r="M95" s="28">
        <v>105.12925545756318</v>
      </c>
      <c r="N95" s="29">
        <v>129.3383585767192</v>
      </c>
      <c r="O95" s="30">
        <v>111.19286720515105</v>
      </c>
      <c r="P95" s="15">
        <v>0.10256310679611649</v>
      </c>
      <c r="Q95" s="16">
        <v>7.6793587174348699E-2</v>
      </c>
      <c r="R95" s="17">
        <v>0.12476947112723669</v>
      </c>
      <c r="S95" s="26">
        <v>5.598661243597524E-2</v>
      </c>
      <c r="T95" s="27">
        <v>6.2276386988271305E-3</v>
      </c>
      <c r="U95" s="75">
        <v>110.77330000000001</v>
      </c>
      <c r="V95" s="76">
        <v>101.86669000000001</v>
      </c>
      <c r="W95" s="71">
        <v>-8.0403942105182424E-2</v>
      </c>
    </row>
    <row r="96" spans="1:23" x14ac:dyDescent="0.3">
      <c r="B96" s="11">
        <f t="shared" si="17"/>
        <v>2</v>
      </c>
      <c r="C96" s="64">
        <v>6.3673206054545503E-4</v>
      </c>
      <c r="D96" s="65">
        <v>-4.8475502244443494E-4</v>
      </c>
      <c r="E96" s="65">
        <v>4.8756205352704397E-3</v>
      </c>
      <c r="F96" s="65">
        <v>1.6758658577904866E-3</v>
      </c>
      <c r="G96" s="70">
        <v>5.7571955911206896E-2</v>
      </c>
      <c r="H96" s="55"/>
      <c r="I96" s="29">
        <v>52.557933896010503</v>
      </c>
      <c r="J96" s="29">
        <v>44.85105959097536</v>
      </c>
      <c r="K96" s="29">
        <v>50.371233790756484</v>
      </c>
      <c r="L96" s="30">
        <v>53.5902071578044</v>
      </c>
      <c r="M96" s="28">
        <v>107.82159903777851</v>
      </c>
      <c r="N96" s="29">
        <v>110.59382738788712</v>
      </c>
      <c r="O96" s="30">
        <v>118.12603888902248</v>
      </c>
      <c r="P96" s="15">
        <v>8.4096742349457063E-2</v>
      </c>
      <c r="Q96" s="16">
        <v>7.4385964912280708E-2</v>
      </c>
      <c r="R96" s="17">
        <v>0.11375028188421668</v>
      </c>
      <c r="S96" s="26">
        <v>0</v>
      </c>
      <c r="T96" s="27">
        <v>5.2043508080518008E-3</v>
      </c>
      <c r="U96" s="75">
        <v>110.7385</v>
      </c>
      <c r="V96" s="76">
        <v>110.31156</v>
      </c>
      <c r="W96" s="71">
        <v>-3.8553890471697549E-3</v>
      </c>
    </row>
    <row r="97" spans="1:23" x14ac:dyDescent="0.3">
      <c r="B97" s="11">
        <f t="shared" si="17"/>
        <v>3</v>
      </c>
      <c r="C97" s="66">
        <v>1.51040842450424E-2</v>
      </c>
      <c r="D97" s="67">
        <v>7.0642793592479904E-3</v>
      </c>
      <c r="E97" s="67">
        <v>2.2348975330568698E-2</v>
      </c>
      <c r="F97" s="65">
        <v>1.4839112978286363E-2</v>
      </c>
      <c r="G97" s="70">
        <v>8.1776857642733791E-2</v>
      </c>
      <c r="H97" s="55"/>
      <c r="I97" s="29">
        <v>54.090218474154192</v>
      </c>
      <c r="J97" s="29">
        <v>39.049762986178713</v>
      </c>
      <c r="K97" s="29">
        <v>52.433831987005441</v>
      </c>
      <c r="L97" s="30">
        <v>53.113801491758004</v>
      </c>
      <c r="M97" s="28">
        <v>109.27468601356971</v>
      </c>
      <c r="N97" s="29">
        <v>115.7554000790373</v>
      </c>
      <c r="O97" s="30">
        <v>119.51528002868437</v>
      </c>
      <c r="P97" s="15">
        <v>0.10871794871794872</v>
      </c>
      <c r="Q97" s="16">
        <v>6.6178861788617885E-2</v>
      </c>
      <c r="R97" s="17">
        <v>0.10100000000000001</v>
      </c>
      <c r="S97" s="26">
        <v>-9.4265496175454557E-5</v>
      </c>
      <c r="T97" s="27">
        <v>5.5605774868950644E-2</v>
      </c>
      <c r="U97" s="75">
        <v>110.70740000000001</v>
      </c>
      <c r="V97" s="76">
        <v>115.71901</v>
      </c>
      <c r="W97" s="71">
        <v>4.5268970276602927E-2</v>
      </c>
    </row>
    <row r="98" spans="1:23" x14ac:dyDescent="0.3">
      <c r="B98" s="11">
        <f t="shared" si="17"/>
        <v>4</v>
      </c>
      <c r="C98" s="66">
        <v>1.3774088237551002E-2</v>
      </c>
      <c r="D98" s="67">
        <v>3.67168276581733E-3</v>
      </c>
      <c r="E98" s="67">
        <v>1.6851914638144401E-2</v>
      </c>
      <c r="F98" s="65">
        <v>1.1432561880504245E-2</v>
      </c>
      <c r="G98" s="70">
        <v>7.9261408733320993E-2</v>
      </c>
      <c r="H98" s="55"/>
      <c r="I98" s="29">
        <v>59.29410801420115</v>
      </c>
      <c r="J98" s="29">
        <v>44.958220819121784</v>
      </c>
      <c r="K98" s="29">
        <v>49.969972332809256</v>
      </c>
      <c r="L98" s="30">
        <v>57.359685404272199</v>
      </c>
      <c r="M98" s="28">
        <v>108.34144658993317</v>
      </c>
      <c r="N98" s="29">
        <v>121.52589661753289</v>
      </c>
      <c r="O98" s="30">
        <v>111.26335363194761</v>
      </c>
      <c r="P98" s="15">
        <v>8.6474103585657366E-2</v>
      </c>
      <c r="Q98" s="16">
        <v>6.9898989898989891E-2</v>
      </c>
      <c r="R98" s="17">
        <v>9.8000000000000004E-2</v>
      </c>
      <c r="S98" s="26">
        <v>0.22458284978274484</v>
      </c>
      <c r="T98" s="27">
        <v>-0.17832087797278123</v>
      </c>
      <c r="U98" s="75">
        <v>110.68040000000001</v>
      </c>
      <c r="V98" s="76">
        <v>116.69593</v>
      </c>
      <c r="W98" s="71">
        <v>5.4350454100274392E-2</v>
      </c>
    </row>
    <row r="99" spans="1:23" x14ac:dyDescent="0.3">
      <c r="A99" s="11">
        <f t="shared" ref="A99" si="24">A95+1</f>
        <v>2024</v>
      </c>
      <c r="B99" s="11">
        <f t="shared" si="17"/>
        <v>1</v>
      </c>
      <c r="C99" s="66">
        <v>2.04422376671686E-2</v>
      </c>
      <c r="D99" s="67">
        <v>8.7415774430621689E-3</v>
      </c>
      <c r="E99" s="67">
        <v>2.0807618518644801E-2</v>
      </c>
      <c r="F99" s="65">
        <v>1.6663811209625189E-2</v>
      </c>
      <c r="G99" s="70">
        <v>8.0708410723420831E-2</v>
      </c>
      <c r="H99" s="55"/>
      <c r="I99" s="29">
        <v>55.150609737351999</v>
      </c>
      <c r="J99" s="29">
        <v>47.844941009925357</v>
      </c>
      <c r="K99" s="29">
        <v>49.142192435445594</v>
      </c>
      <c r="L99" s="30">
        <v>54.543067814185534</v>
      </c>
      <c r="M99" s="28">
        <v>109.49922716465818</v>
      </c>
      <c r="N99" s="29">
        <v>123.29895470936253</v>
      </c>
      <c r="O99" s="30">
        <v>122.56484167126935</v>
      </c>
      <c r="P99" s="15">
        <v>9.3096264884354393E-2</v>
      </c>
      <c r="Q99" s="16">
        <v>7.3812636165577331E-2</v>
      </c>
      <c r="R99" s="17">
        <v>8.5000000000000006E-2</v>
      </c>
      <c r="S99" s="26">
        <v>-8.6821445587662874E-2</v>
      </c>
      <c r="T99" s="27">
        <v>1.0412878190528184E-2</v>
      </c>
      <c r="U99" s="75">
        <v>110.6568</v>
      </c>
      <c r="V99" s="76">
        <v>117.12452</v>
      </c>
      <c r="W99" s="71">
        <v>5.8448464079930096E-2</v>
      </c>
    </row>
    <row r="100" spans="1:23" x14ac:dyDescent="0.3">
      <c r="B100" s="11">
        <f t="shared" si="17"/>
        <v>2</v>
      </c>
      <c r="C100" s="66">
        <v>-3.89702844757721E-3</v>
      </c>
      <c r="D100" s="67">
        <v>-1.1082575326290501E-2</v>
      </c>
      <c r="E100" s="67">
        <v>-2.2418479079833898E-3</v>
      </c>
      <c r="F100" s="65">
        <v>-5.7404838939503671E-3</v>
      </c>
      <c r="G100" s="70">
        <v>4.1146060635033121E-2</v>
      </c>
      <c r="H100" s="55"/>
      <c r="I100" s="29">
        <v>49.912895376679529</v>
      </c>
      <c r="J100" s="29">
        <v>48.970664805832463</v>
      </c>
      <c r="K100" s="29">
        <v>54.370986662051713</v>
      </c>
      <c r="L100" s="30">
        <v>55.161663961571151</v>
      </c>
      <c r="M100" s="28">
        <v>105.7906739473309</v>
      </c>
      <c r="N100" s="29">
        <v>114.41633758226419</v>
      </c>
      <c r="O100" s="30">
        <v>120.56393400496718</v>
      </c>
      <c r="P100" s="15">
        <v>6.924000000000001E-2</v>
      </c>
      <c r="Q100" s="16">
        <v>6.7935483870967706E-2</v>
      </c>
      <c r="R100" s="17">
        <v>6.7863243332766665E-2</v>
      </c>
      <c r="S100" s="26">
        <v>0.13321709599416004</v>
      </c>
      <c r="T100" s="27">
        <v>0.16044363202258191</v>
      </c>
      <c r="U100" s="75">
        <v>110.6358</v>
      </c>
      <c r="V100" s="76">
        <v>120.27056</v>
      </c>
      <c r="W100" s="71">
        <v>8.7085373812093358E-2</v>
      </c>
    </row>
    <row r="101" spans="1:23" x14ac:dyDescent="0.3">
      <c r="B101" s="11">
        <f t="shared" si="17"/>
        <v>3</v>
      </c>
      <c r="C101" s="66">
        <v>7.4820706206924102E-3</v>
      </c>
      <c r="D101" s="67">
        <v>-1.4216009621745399E-4</v>
      </c>
      <c r="E101" s="67">
        <v>5.1971888120312202E-3</v>
      </c>
      <c r="F101" s="65">
        <v>4.1790331121687252E-3</v>
      </c>
      <c r="G101" s="70">
        <v>4.3790905431032368E-2</v>
      </c>
      <c r="H101" s="55"/>
      <c r="I101" s="29">
        <v>48.929585096176474</v>
      </c>
      <c r="J101" s="29">
        <v>43.25988755459538</v>
      </c>
      <c r="K101" s="29">
        <v>52.246062732650586</v>
      </c>
      <c r="L101" s="30">
        <v>53.267363402446101</v>
      </c>
      <c r="M101" s="28">
        <v>99.883330195203655</v>
      </c>
      <c r="N101" s="29">
        <v>110.09315382328128</v>
      </c>
      <c r="O101" s="30">
        <v>133.68320475258949</v>
      </c>
      <c r="P101" s="15">
        <v>6.3128654970760242E-2</v>
      </c>
      <c r="Q101" s="16">
        <v>5.4662921348314603E-2</v>
      </c>
      <c r="R101" s="17">
        <v>6.1429381916956974E-2</v>
      </c>
      <c r="S101" s="26">
        <v>-0.20678128411101773</v>
      </c>
      <c r="T101" s="27">
        <v>-0.15905236406860013</v>
      </c>
      <c r="U101" s="75">
        <v>110.6152</v>
      </c>
      <c r="V101" s="76">
        <v>119.17428</v>
      </c>
      <c r="W101" s="71">
        <v>7.7377069335859749E-2</v>
      </c>
    </row>
    <row r="102" spans="1:23" x14ac:dyDescent="0.3">
      <c r="B102" s="11">
        <f t="shared" si="17"/>
        <v>4</v>
      </c>
      <c r="C102" s="66">
        <v>1.0567065496268201E-2</v>
      </c>
      <c r="D102" s="67">
        <v>2.2944523654224299E-3</v>
      </c>
      <c r="E102" s="67">
        <v>5.9804193054253897E-3</v>
      </c>
      <c r="F102" s="65">
        <v>6.2806457223720073E-3</v>
      </c>
      <c r="G102" s="70">
        <v>4.8385238909661954E-2</v>
      </c>
      <c r="H102" s="71"/>
      <c r="I102" s="29">
        <v>54.209709797282116</v>
      </c>
      <c r="J102" s="29">
        <v>46.77894785458615</v>
      </c>
      <c r="K102" s="29">
        <v>49.176115806043356</v>
      </c>
      <c r="L102" s="30">
        <v>52.582371792554419</v>
      </c>
      <c r="M102" s="28">
        <v>98.665358824014476</v>
      </c>
      <c r="N102" s="29">
        <v>121.78754490123139</v>
      </c>
      <c r="O102" s="30">
        <v>131.5069982749439</v>
      </c>
      <c r="P102" s="15">
        <v>8.5066828675577161E-2</v>
      </c>
      <c r="Q102" s="16">
        <v>7.3703703703703702E-2</v>
      </c>
      <c r="R102" s="17">
        <v>7.495344343733E-2</v>
      </c>
      <c r="S102" s="26">
        <v>-0.11014197166004616</v>
      </c>
      <c r="T102" s="27">
        <v>-0.16026151437366432</v>
      </c>
      <c r="U102" s="75">
        <v>110.59350000000001</v>
      </c>
      <c r="V102" s="76">
        <v>124.35169999999999</v>
      </c>
      <c r="W102" s="71">
        <v>0.12440333292643779</v>
      </c>
    </row>
    <row r="103" spans="1:23" x14ac:dyDescent="0.3">
      <c r="A103" s="11">
        <f t="shared" ref="A103" si="25">A99+1</f>
        <v>2025</v>
      </c>
      <c r="B103" s="11">
        <f t="shared" si="17"/>
        <v>1</v>
      </c>
      <c r="C103" s="66">
        <v>-2.2473893397227502E-3</v>
      </c>
      <c r="D103" s="67">
        <v>-9.5870177862852693E-3</v>
      </c>
      <c r="E103" s="67">
        <v>-6.8238676482661994E-3</v>
      </c>
      <c r="F103" s="65">
        <v>-6.2194249247580734E-3</v>
      </c>
      <c r="G103" s="70">
        <v>2.642053784177345E-2</v>
      </c>
      <c r="H103" s="71"/>
      <c r="I103" s="29">
        <v>45.620164607365595</v>
      </c>
      <c r="J103" s="29">
        <v>41.351307717445081</v>
      </c>
      <c r="K103" s="29">
        <v>39.044326116534748</v>
      </c>
      <c r="L103" s="30">
        <v>45.839083581797716</v>
      </c>
      <c r="M103" s="28">
        <v>90.396099041314315</v>
      </c>
      <c r="N103" s="29">
        <v>108.24387497781473</v>
      </c>
      <c r="O103" s="30">
        <v>140.60293662166976</v>
      </c>
      <c r="P103" s="15">
        <v>0.10841683366733469</v>
      </c>
      <c r="Q103" s="16">
        <v>7.9758454106280186E-2</v>
      </c>
      <c r="R103" s="17">
        <v>0.1010114673963713</v>
      </c>
      <c r="S103" s="26">
        <v>-6.7299361952445291E-2</v>
      </c>
      <c r="T103" s="27">
        <v>-5.1390238123109375E-2</v>
      </c>
      <c r="U103" s="75">
        <v>110.5688</v>
      </c>
      <c r="V103" s="76">
        <v>126.82642</v>
      </c>
      <c r="W103" s="71">
        <v>0.14703623445311886</v>
      </c>
    </row>
    <row r="104" spans="1:23" x14ac:dyDescent="0.3">
      <c r="B104" s="11">
        <f t="shared" si="17"/>
        <v>2</v>
      </c>
      <c r="C104" s="66">
        <v>2.19630562198312E-2</v>
      </c>
      <c r="D104" s="67">
        <v>1.30808875559402E-2</v>
      </c>
      <c r="E104" s="67">
        <v>1.69907479464525E-2</v>
      </c>
      <c r="F104" s="65">
        <v>1.73448972407413E-2</v>
      </c>
      <c r="G104" s="70">
        <v>7.7860304531879088E-2</v>
      </c>
      <c r="H104" s="71"/>
      <c r="I104" s="29">
        <v>49.658640791057977</v>
      </c>
      <c r="J104" s="29">
        <v>43.166729598551157</v>
      </c>
      <c r="K104" s="29">
        <v>43.346318935698378</v>
      </c>
      <c r="L104" s="30">
        <v>40.341328209866553</v>
      </c>
      <c r="M104" s="28"/>
      <c r="N104" s="29"/>
      <c r="O104" s="30"/>
      <c r="P104" s="15">
        <v>0.10834000000000001</v>
      </c>
      <c r="Q104" s="16">
        <v>0.10436692506459949</v>
      </c>
      <c r="R104" s="17">
        <v>9.8107296651497797E-2</v>
      </c>
      <c r="S104" s="26">
        <v>1.1334831015264356E-2</v>
      </c>
      <c r="T104" s="27">
        <v>-0.1697859488471046</v>
      </c>
      <c r="U104" s="75">
        <v>110.54</v>
      </c>
      <c r="V104" s="76">
        <v>120.68087</v>
      </c>
      <c r="W104" s="71">
        <v>9.1739370363669082E-2</v>
      </c>
    </row>
    <row r="105" spans="1:23" x14ac:dyDescent="0.3">
      <c r="B105" s="11">
        <f t="shared" si="17"/>
        <v>3</v>
      </c>
      <c r="C105" s="66">
        <v>1.95724415172321E-2</v>
      </c>
      <c r="D105" s="67">
        <v>1.6109237331464299E-2</v>
      </c>
      <c r="E105" s="67">
        <v>1.96697824680977E-2</v>
      </c>
      <c r="F105" s="65">
        <v>1.8450487105598032E-2</v>
      </c>
      <c r="G105" s="70">
        <v>6.4908631747508938E-2</v>
      </c>
      <c r="H105" s="71">
        <f>G105</f>
        <v>6.4908631747508938E-2</v>
      </c>
      <c r="L105" s="21"/>
      <c r="M105" s="22"/>
      <c r="O105" s="21"/>
      <c r="P105" s="15">
        <v>9.8103792415169672E-2</v>
      </c>
      <c r="Q105" s="16">
        <v>9.7711442786069649E-2</v>
      </c>
      <c r="R105" s="17">
        <v>9.2731156498702713E-2</v>
      </c>
      <c r="S105" s="26">
        <v>3.6724254735990632E-3</v>
      </c>
      <c r="T105" s="27">
        <v>0.14946411336886581</v>
      </c>
      <c r="U105" s="75">
        <v>110.50839999999999</v>
      </c>
      <c r="V105" s="76">
        <v>122.1217</v>
      </c>
      <c r="W105" s="71">
        <v>0.10508974883357292</v>
      </c>
    </row>
    <row r="106" spans="1:23" x14ac:dyDescent="0.3">
      <c r="B106" s="11">
        <f t="shared" si="17"/>
        <v>4</v>
      </c>
      <c r="C106" s="22"/>
      <c r="F106" s="21"/>
      <c r="G106" s="57"/>
      <c r="H106" s="71">
        <v>5.9459438790413655E-2</v>
      </c>
      <c r="L106" s="21"/>
      <c r="M106" s="22"/>
      <c r="O106" s="21"/>
      <c r="P106" s="22"/>
      <c r="R106" s="21"/>
      <c r="S106" s="22"/>
      <c r="T106" s="21"/>
    </row>
  </sheetData>
  <mergeCells count="9">
    <mergeCell ref="U1:W1"/>
    <mergeCell ref="M1:O1"/>
    <mergeCell ref="P1:R1"/>
    <mergeCell ref="S1:T1"/>
    <mergeCell ref="A1:A2"/>
    <mergeCell ref="B1:B2"/>
    <mergeCell ref="C1:F1"/>
    <mergeCell ref="G1:H1"/>
    <mergeCell ref="I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</vt:lpstr>
      <vt:lpstr>Quarter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Бямбаа Амарсанаа</dc:creator>
  <cp:lastModifiedBy>Бямбаа Амарсанаа</cp:lastModifiedBy>
  <dcterms:created xsi:type="dcterms:W3CDTF">2026-01-16T08:17:31Z</dcterms:created>
  <dcterms:modified xsi:type="dcterms:W3CDTF">2026-01-21T06:20:57Z</dcterms:modified>
</cp:coreProperties>
</file>