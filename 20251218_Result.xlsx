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osbayar.e\My Drive\1. Processing\2025Q4\20251010_Dashboard\"/>
    </mc:Choice>
  </mc:AlternateContent>
  <xr:revisionPtr revIDLastSave="0" documentId="13_ncr:1_{D0250B0B-D38B-482B-8F61-D30078422F97}" xr6:coauthVersionLast="47" xr6:coauthVersionMax="47" xr10:uidLastSave="{00000000-0000-0000-0000-000000000000}"/>
  <bookViews>
    <workbookView xWindow="23868" yWindow="-108" windowWidth="22320" windowHeight="13176" tabRatio="801" activeTab="2" xr2:uid="{15333600-5D3A-4CDD-B1CB-5C36EF03A2D3}"/>
  </bookViews>
  <sheets>
    <sheet name="Summary" sheetId="11" r:id="rId1"/>
    <sheet name="Month" sheetId="10" r:id="rId2"/>
    <sheet name="Monthly activity indicator" sheetId="14" r:id="rId3"/>
    <sheet name="Quarter" sheetId="9" r:id="rId4"/>
    <sheet name="Output gap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4" l="1"/>
  <c r="B27" i="14" s="1"/>
  <c r="B39" i="14" s="1"/>
  <c r="B51" i="14" s="1"/>
  <c r="B63" i="14" s="1"/>
  <c r="B75" i="14" s="1"/>
  <c r="B87" i="14" s="1"/>
  <c r="B99" i="14" s="1"/>
  <c r="B111" i="14" s="1"/>
  <c r="B123" i="14" s="1"/>
  <c r="B135" i="14" s="1"/>
  <c r="B147" i="14" s="1"/>
  <c r="B159" i="14" s="1"/>
  <c r="B171" i="14" s="1"/>
  <c r="B183" i="14" s="1"/>
  <c r="B195" i="14" s="1"/>
  <c r="B207" i="14" s="1"/>
  <c r="B219" i="14" s="1"/>
  <c r="B231" i="14" s="1"/>
  <c r="B243" i="14" s="1"/>
  <c r="B255" i="14" s="1"/>
  <c r="B267" i="14" s="1"/>
  <c r="B279" i="14" s="1"/>
  <c r="B291" i="14" s="1"/>
  <c r="B303" i="14" s="1"/>
  <c r="B315" i="14" s="1"/>
  <c r="A15" i="14"/>
  <c r="A27" i="14" s="1"/>
  <c r="A39" i="14" s="1"/>
  <c r="A51" i="14" s="1"/>
  <c r="A63" i="14" s="1"/>
  <c r="A75" i="14" s="1"/>
  <c r="A87" i="14" s="1"/>
  <c r="A99" i="14" s="1"/>
  <c r="A111" i="14" s="1"/>
  <c r="A123" i="14" s="1"/>
  <c r="A135" i="14" s="1"/>
  <c r="A147" i="14" s="1"/>
  <c r="A159" i="14" s="1"/>
  <c r="A171" i="14" s="1"/>
  <c r="A183" i="14" s="1"/>
  <c r="A195" i="14" s="1"/>
  <c r="A207" i="14" s="1"/>
  <c r="A219" i="14" s="1"/>
  <c r="A231" i="14" s="1"/>
  <c r="A243" i="14" s="1"/>
  <c r="A255" i="14" s="1"/>
  <c r="A267" i="14" s="1"/>
  <c r="A279" i="14" s="1"/>
  <c r="A291" i="14" s="1"/>
  <c r="A303" i="14" s="1"/>
  <c r="A315" i="14" s="1"/>
  <c r="B4" i="14"/>
  <c r="B16" i="14" s="1"/>
  <c r="B28" i="14" s="1"/>
  <c r="B40" i="14" s="1"/>
  <c r="B52" i="14" s="1"/>
  <c r="B64" i="14" s="1"/>
  <c r="B76" i="14" s="1"/>
  <c r="B88" i="14" s="1"/>
  <c r="B100" i="14" s="1"/>
  <c r="B112" i="14" s="1"/>
  <c r="B124" i="14" s="1"/>
  <c r="B136" i="14" s="1"/>
  <c r="B148" i="14" s="1"/>
  <c r="B160" i="14" s="1"/>
  <c r="B172" i="14" s="1"/>
  <c r="B184" i="14" s="1"/>
  <c r="B196" i="14" s="1"/>
  <c r="B208" i="14" s="1"/>
  <c r="B220" i="14" s="1"/>
  <c r="B232" i="14" s="1"/>
  <c r="B244" i="14" s="1"/>
  <c r="B256" i="14" s="1"/>
  <c r="B268" i="14" s="1"/>
  <c r="B280" i="14" s="1"/>
  <c r="B292" i="14" s="1"/>
  <c r="B304" i="14" s="1"/>
  <c r="B316" i="14" s="1"/>
  <c r="B13" i="11"/>
  <c r="B14" i="11" s="1"/>
  <c r="B15" i="11" s="1"/>
  <c r="B16" i="11" s="1"/>
  <c r="B17" i="11" s="1"/>
  <c r="B18" i="11" s="1"/>
  <c r="B19" i="11" s="1"/>
  <c r="L326" i="10"/>
  <c r="L325" i="10"/>
  <c r="L324" i="10"/>
  <c r="L323" i="10"/>
  <c r="L322" i="10"/>
  <c r="L321" i="10"/>
  <c r="L320" i="10"/>
  <c r="L319" i="10"/>
  <c r="L318" i="10"/>
  <c r="L317" i="10"/>
  <c r="L316" i="10"/>
  <c r="L315" i="10"/>
  <c r="K315" i="10"/>
  <c r="AO97" i="12"/>
  <c r="AN97" i="12"/>
  <c r="AM97" i="12"/>
  <c r="AD97" i="12"/>
  <c r="AA97" i="12"/>
  <c r="Z97" i="12"/>
  <c r="Y97" i="12"/>
  <c r="AO96" i="12"/>
  <c r="AN96" i="12"/>
  <c r="AM96" i="12"/>
  <c r="AD96" i="12"/>
  <c r="AA96" i="12"/>
  <c r="Z96" i="12"/>
  <c r="Y96" i="12"/>
  <c r="AO95" i="12"/>
  <c r="AN95" i="12"/>
  <c r="AM95" i="12"/>
  <c r="AD95" i="12"/>
  <c r="AA95" i="12"/>
  <c r="Z95" i="12"/>
  <c r="Y95" i="12"/>
  <c r="AO94" i="12"/>
  <c r="AN94" i="12"/>
  <c r="AM94" i="12"/>
  <c r="AD94" i="12"/>
  <c r="AA94" i="12"/>
  <c r="Z94" i="12"/>
  <c r="Y94" i="12"/>
  <c r="AO93" i="12"/>
  <c r="AN93" i="12"/>
  <c r="AM93" i="12"/>
  <c r="AD93" i="12"/>
  <c r="AA93" i="12"/>
  <c r="Z93" i="12"/>
  <c r="Y93" i="12"/>
  <c r="AO92" i="12"/>
  <c r="AN92" i="12"/>
  <c r="AM92" i="12"/>
  <c r="AD92" i="12"/>
  <c r="AA92" i="12"/>
  <c r="Z92" i="12"/>
  <c r="Y92" i="12"/>
  <c r="AO91" i="12"/>
  <c r="AN91" i="12"/>
  <c r="AM91" i="12"/>
  <c r="AD91" i="12"/>
  <c r="AA91" i="12"/>
  <c r="Z91" i="12"/>
  <c r="Y91" i="12"/>
  <c r="AO90" i="12"/>
  <c r="AN90" i="12"/>
  <c r="AM90" i="12"/>
  <c r="AD90" i="12"/>
  <c r="AA90" i="12"/>
  <c r="Z90" i="12"/>
  <c r="Y90" i="12"/>
  <c r="AO89" i="12"/>
  <c r="AN89" i="12"/>
  <c r="AM89" i="12"/>
  <c r="AD89" i="12"/>
  <c r="AA89" i="12"/>
  <c r="Z89" i="12"/>
  <c r="Y89" i="12"/>
  <c r="AO88" i="12"/>
  <c r="AN88" i="12"/>
  <c r="AM88" i="12"/>
  <c r="AD88" i="12"/>
  <c r="AA88" i="12"/>
  <c r="Z88" i="12"/>
  <c r="Y88" i="12"/>
  <c r="AO87" i="12"/>
  <c r="AN87" i="12"/>
  <c r="AM87" i="12"/>
  <c r="AD87" i="12"/>
  <c r="AA87" i="12"/>
  <c r="Z87" i="12"/>
  <c r="Y87" i="12"/>
  <c r="AO86" i="12"/>
  <c r="AN86" i="12"/>
  <c r="AM86" i="12"/>
  <c r="AD86" i="12"/>
  <c r="AA86" i="12"/>
  <c r="Z86" i="12"/>
  <c r="Y86" i="12"/>
  <c r="AO85" i="12"/>
  <c r="AN85" i="12"/>
  <c r="AM85" i="12"/>
  <c r="AD85" i="12"/>
  <c r="AA85" i="12"/>
  <c r="Z85" i="12"/>
  <c r="Y85" i="12"/>
  <c r="AO84" i="12"/>
  <c r="AN84" i="12"/>
  <c r="AM84" i="12"/>
  <c r="AD84" i="12"/>
  <c r="AA84" i="12"/>
  <c r="Z84" i="12"/>
  <c r="Y84" i="12"/>
  <c r="AO83" i="12"/>
  <c r="AN83" i="12"/>
  <c r="AM83" i="12"/>
  <c r="AD83" i="12"/>
  <c r="AA83" i="12"/>
  <c r="Z83" i="12"/>
  <c r="Y83" i="12"/>
  <c r="AO82" i="12"/>
  <c r="AN82" i="12"/>
  <c r="AM82" i="12"/>
  <c r="AD82" i="12"/>
  <c r="AA82" i="12"/>
  <c r="Z82" i="12"/>
  <c r="Y82" i="12"/>
  <c r="AO81" i="12"/>
  <c r="AN81" i="12"/>
  <c r="AM81" i="12"/>
  <c r="AD81" i="12"/>
  <c r="AA81" i="12"/>
  <c r="Z81" i="12"/>
  <c r="Y81" i="12"/>
  <c r="AO80" i="12"/>
  <c r="AN80" i="12"/>
  <c r="AM80" i="12"/>
  <c r="AD80" i="12"/>
  <c r="AA80" i="12"/>
  <c r="Z80" i="12"/>
  <c r="Y80" i="12"/>
  <c r="AO79" i="12"/>
  <c r="AN79" i="12"/>
  <c r="AM79" i="12"/>
  <c r="AD79" i="12"/>
  <c r="AA79" i="12"/>
  <c r="Z79" i="12"/>
  <c r="Y79" i="12"/>
  <c r="AO78" i="12"/>
  <c r="AN78" i="12"/>
  <c r="AM78" i="12"/>
  <c r="AD78" i="12"/>
  <c r="AA78" i="12"/>
  <c r="Z78" i="12"/>
  <c r="Y78" i="12"/>
  <c r="AO77" i="12"/>
  <c r="AN77" i="12"/>
  <c r="AM77" i="12"/>
  <c r="AD77" i="12"/>
  <c r="AA77" i="12"/>
  <c r="Z77" i="12"/>
  <c r="Y77" i="12"/>
  <c r="AO76" i="12"/>
  <c r="AN76" i="12"/>
  <c r="AM76" i="12"/>
  <c r="AD76" i="12"/>
  <c r="AA76" i="12"/>
  <c r="Z76" i="12"/>
  <c r="Y76" i="12"/>
  <c r="AO75" i="12"/>
  <c r="AN75" i="12"/>
  <c r="AM75" i="12"/>
  <c r="AD75" i="12"/>
  <c r="AA75" i="12"/>
  <c r="Z75" i="12"/>
  <c r="Y75" i="12"/>
  <c r="AO74" i="12"/>
  <c r="AN74" i="12"/>
  <c r="AM74" i="12"/>
  <c r="AD74" i="12"/>
  <c r="AA74" i="12"/>
  <c r="Z74" i="12"/>
  <c r="Y74" i="12"/>
  <c r="AO73" i="12"/>
  <c r="AN73" i="12"/>
  <c r="AM73" i="12"/>
  <c r="AD73" i="12"/>
  <c r="AA73" i="12"/>
  <c r="Z73" i="12"/>
  <c r="Y73" i="12"/>
  <c r="AO72" i="12"/>
  <c r="AN72" i="12"/>
  <c r="AM72" i="12"/>
  <c r="AD72" i="12"/>
  <c r="AA72" i="12"/>
  <c r="Z72" i="12"/>
  <c r="Y72" i="12"/>
  <c r="AO71" i="12"/>
  <c r="AN71" i="12"/>
  <c r="AM71" i="12"/>
  <c r="AD71" i="12"/>
  <c r="AA71" i="12"/>
  <c r="Z71" i="12"/>
  <c r="Y71" i="12"/>
  <c r="AO70" i="12"/>
  <c r="AN70" i="12"/>
  <c r="AM70" i="12"/>
  <c r="AD70" i="12"/>
  <c r="AA70" i="12"/>
  <c r="Z70" i="12"/>
  <c r="Y70" i="12"/>
  <c r="AO69" i="12"/>
  <c r="AN69" i="12"/>
  <c r="AM69" i="12"/>
  <c r="AD69" i="12"/>
  <c r="AA69" i="12"/>
  <c r="Z69" i="12"/>
  <c r="Y69" i="12"/>
  <c r="AO68" i="12"/>
  <c r="AN68" i="12"/>
  <c r="AM68" i="12"/>
  <c r="AD68" i="12"/>
  <c r="AA68" i="12"/>
  <c r="Z68" i="12"/>
  <c r="Y68" i="12"/>
  <c r="AO67" i="12"/>
  <c r="AN67" i="12"/>
  <c r="AM67" i="12"/>
  <c r="AD67" i="12"/>
  <c r="AA67" i="12"/>
  <c r="Z67" i="12"/>
  <c r="Y67" i="12"/>
  <c r="AO66" i="12"/>
  <c r="AN66" i="12"/>
  <c r="AM66" i="12"/>
  <c r="AD66" i="12"/>
  <c r="AA66" i="12"/>
  <c r="Z66" i="12"/>
  <c r="Y66" i="12"/>
  <c r="AO65" i="12"/>
  <c r="AN65" i="12"/>
  <c r="AM65" i="12"/>
  <c r="AD65" i="12"/>
  <c r="AA65" i="12"/>
  <c r="Z65" i="12"/>
  <c r="Y65" i="12"/>
  <c r="AO64" i="12"/>
  <c r="AN64" i="12"/>
  <c r="AM64" i="12"/>
  <c r="AD64" i="12"/>
  <c r="AA64" i="12"/>
  <c r="Z64" i="12"/>
  <c r="Y64" i="12"/>
  <c r="AO63" i="12"/>
  <c r="AN63" i="12"/>
  <c r="AM63" i="12"/>
  <c r="AD63" i="12"/>
  <c r="AA63" i="12"/>
  <c r="Z63" i="12"/>
  <c r="Y63" i="12"/>
  <c r="AO62" i="12"/>
  <c r="AN62" i="12"/>
  <c r="AM62" i="12"/>
  <c r="AD62" i="12"/>
  <c r="AA62" i="12"/>
  <c r="Z62" i="12"/>
  <c r="Y62" i="12"/>
  <c r="AO61" i="12"/>
  <c r="AN61" i="12"/>
  <c r="AM61" i="12"/>
  <c r="AD61" i="12"/>
  <c r="AA61" i="12"/>
  <c r="Z61" i="12"/>
  <c r="Y61" i="12"/>
  <c r="AO60" i="12"/>
  <c r="AN60" i="12"/>
  <c r="AM60" i="12"/>
  <c r="AD60" i="12"/>
  <c r="AA60" i="12"/>
  <c r="Z60" i="12"/>
  <c r="Y60" i="12"/>
  <c r="AO59" i="12"/>
  <c r="AN59" i="12"/>
  <c r="AM59" i="12"/>
  <c r="AD59" i="12"/>
  <c r="AA59" i="12"/>
  <c r="Z59" i="12"/>
  <c r="Y59" i="12"/>
  <c r="AO58" i="12"/>
  <c r="AN58" i="12"/>
  <c r="AM58" i="12"/>
  <c r="AD58" i="12"/>
  <c r="AA58" i="12"/>
  <c r="Z58" i="12"/>
  <c r="Y58" i="12"/>
  <c r="AO57" i="12"/>
  <c r="AN57" i="12"/>
  <c r="AM57" i="12"/>
  <c r="AD57" i="12"/>
  <c r="AA57" i="12"/>
  <c r="Z57" i="12"/>
  <c r="Y57" i="12"/>
  <c r="AO56" i="12"/>
  <c r="AN56" i="12"/>
  <c r="AM56" i="12"/>
  <c r="AD56" i="12"/>
  <c r="AA56" i="12"/>
  <c r="Z56" i="12"/>
  <c r="Y56" i="12"/>
  <c r="AO55" i="12"/>
  <c r="AN55" i="12"/>
  <c r="AM55" i="12"/>
  <c r="AD55" i="12"/>
  <c r="AA55" i="12"/>
  <c r="Z55" i="12"/>
  <c r="Y55" i="12"/>
  <c r="AO54" i="12"/>
  <c r="AN54" i="12"/>
  <c r="AM54" i="12"/>
  <c r="AD54" i="12"/>
  <c r="AA54" i="12"/>
  <c r="Z54" i="12"/>
  <c r="Y54" i="12"/>
  <c r="AO53" i="12"/>
  <c r="AN53" i="12"/>
  <c r="AM53" i="12"/>
  <c r="AD53" i="12"/>
  <c r="AA53" i="12"/>
  <c r="Z53" i="12"/>
  <c r="Y53" i="12"/>
  <c r="AO52" i="12"/>
  <c r="AN52" i="12"/>
  <c r="AM52" i="12"/>
  <c r="AD52" i="12"/>
  <c r="AA52" i="12"/>
  <c r="Z52" i="12"/>
  <c r="Y52" i="12"/>
  <c r="AO51" i="12"/>
  <c r="AN51" i="12"/>
  <c r="AM51" i="12"/>
  <c r="AD51" i="12"/>
  <c r="AA51" i="12"/>
  <c r="Z51" i="12"/>
  <c r="Y51" i="12"/>
  <c r="AO50" i="12"/>
  <c r="AN50" i="12"/>
  <c r="AM50" i="12"/>
  <c r="AD50" i="12"/>
  <c r="AA50" i="12"/>
  <c r="Z50" i="12"/>
  <c r="Y50" i="12"/>
  <c r="AO49" i="12"/>
  <c r="AN49" i="12"/>
  <c r="AM49" i="12"/>
  <c r="AD49" i="12"/>
  <c r="AA49" i="12"/>
  <c r="Z49" i="12"/>
  <c r="Y49" i="12"/>
  <c r="AO48" i="12"/>
  <c r="AN48" i="12"/>
  <c r="AM48" i="12"/>
  <c r="AD48" i="12"/>
  <c r="AA48" i="12"/>
  <c r="Z48" i="12"/>
  <c r="Y48" i="12"/>
  <c r="AO47" i="12"/>
  <c r="AN47" i="12"/>
  <c r="AM47" i="12"/>
  <c r="AD47" i="12"/>
  <c r="AA47" i="12"/>
  <c r="Z47" i="12"/>
  <c r="Y47" i="12"/>
  <c r="AO46" i="12"/>
  <c r="AN46" i="12"/>
  <c r="AM46" i="12"/>
  <c r="AD46" i="12"/>
  <c r="AA46" i="12"/>
  <c r="Z46" i="12"/>
  <c r="Y46" i="12"/>
  <c r="AO45" i="12"/>
  <c r="AN45" i="12"/>
  <c r="AM45" i="12"/>
  <c r="AD45" i="12"/>
  <c r="AA45" i="12"/>
  <c r="Z45" i="12"/>
  <c r="Y45" i="12"/>
  <c r="AO44" i="12"/>
  <c r="AN44" i="12"/>
  <c r="AM44" i="12"/>
  <c r="AD44" i="12"/>
  <c r="AA44" i="12"/>
  <c r="Z44" i="12"/>
  <c r="Y44" i="12"/>
  <c r="AO43" i="12"/>
  <c r="AN43" i="12"/>
  <c r="AM43" i="12"/>
  <c r="AD43" i="12"/>
  <c r="AA43" i="12"/>
  <c r="Z43" i="12"/>
  <c r="Y43" i="12"/>
  <c r="AO42" i="12"/>
  <c r="AN42" i="12"/>
  <c r="AM42" i="12"/>
  <c r="AD42" i="12"/>
  <c r="AA42" i="12"/>
  <c r="Z42" i="12"/>
  <c r="Y42" i="12"/>
  <c r="AO41" i="12"/>
  <c r="AN41" i="12"/>
  <c r="AM41" i="12"/>
  <c r="AD41" i="12"/>
  <c r="AA41" i="12"/>
  <c r="Z41" i="12"/>
  <c r="Y41" i="12"/>
  <c r="AO40" i="12"/>
  <c r="AN40" i="12"/>
  <c r="AM40" i="12"/>
  <c r="AD40" i="12"/>
  <c r="AA40" i="12"/>
  <c r="Z40" i="12"/>
  <c r="Y40" i="12"/>
  <c r="AO39" i="12"/>
  <c r="AN39" i="12"/>
  <c r="AM39" i="12"/>
  <c r="AD39" i="12"/>
  <c r="AA39" i="12"/>
  <c r="Z39" i="12"/>
  <c r="Y39" i="12"/>
  <c r="AO38" i="12"/>
  <c r="AN38" i="12"/>
  <c r="AM38" i="12"/>
  <c r="AD38" i="12"/>
  <c r="AA38" i="12"/>
  <c r="Z38" i="12"/>
  <c r="Y38" i="12"/>
  <c r="AO37" i="12"/>
  <c r="AN37" i="12"/>
  <c r="AM37" i="12"/>
  <c r="AD37" i="12"/>
  <c r="AA37" i="12"/>
  <c r="Z37" i="12"/>
  <c r="Y37" i="12"/>
  <c r="AO36" i="12"/>
  <c r="AN36" i="12"/>
  <c r="AM36" i="12"/>
  <c r="AD36" i="12"/>
  <c r="AA36" i="12"/>
  <c r="Z36" i="12"/>
  <c r="Y36" i="12"/>
  <c r="AO35" i="12"/>
  <c r="AN35" i="12"/>
  <c r="AM35" i="12"/>
  <c r="AD35" i="12"/>
  <c r="AA35" i="12"/>
  <c r="Z35" i="12"/>
  <c r="Y35" i="12"/>
  <c r="AO34" i="12"/>
  <c r="AN34" i="12"/>
  <c r="AM34" i="12"/>
  <c r="AD34" i="12"/>
  <c r="AA34" i="12"/>
  <c r="Z34" i="12"/>
  <c r="Y34" i="12"/>
  <c r="AO33" i="12"/>
  <c r="AN33" i="12"/>
  <c r="AM33" i="12"/>
  <c r="AD33" i="12"/>
  <c r="AA33" i="12"/>
  <c r="Z33" i="12"/>
  <c r="Y33" i="12"/>
  <c r="AO32" i="12"/>
  <c r="AN32" i="12"/>
  <c r="AM32" i="12"/>
  <c r="AD32" i="12"/>
  <c r="AA32" i="12"/>
  <c r="Z32" i="12"/>
  <c r="Y32" i="12"/>
  <c r="AO31" i="12"/>
  <c r="AN31" i="12"/>
  <c r="AM31" i="12"/>
  <c r="AD31" i="12"/>
  <c r="AA31" i="12"/>
  <c r="Z31" i="12"/>
  <c r="Y31" i="12"/>
  <c r="AO30" i="12"/>
  <c r="AN30" i="12"/>
  <c r="AM30" i="12"/>
  <c r="AD30" i="12"/>
  <c r="AA30" i="12"/>
  <c r="Z30" i="12"/>
  <c r="Y30" i="12"/>
  <c r="AO29" i="12"/>
  <c r="AN29" i="12"/>
  <c r="AM29" i="12"/>
  <c r="AD29" i="12"/>
  <c r="AA29" i="12"/>
  <c r="Z29" i="12"/>
  <c r="Y29" i="12"/>
  <c r="AO28" i="12"/>
  <c r="AN28" i="12"/>
  <c r="AM28" i="12"/>
  <c r="AD28" i="12"/>
  <c r="AA28" i="12"/>
  <c r="Z28" i="12"/>
  <c r="Y28" i="12"/>
  <c r="AO27" i="12"/>
  <c r="AN27" i="12"/>
  <c r="AM27" i="12"/>
  <c r="AD27" i="12"/>
  <c r="AA27" i="12"/>
  <c r="Z27" i="12"/>
  <c r="Y27" i="12"/>
  <c r="AO26" i="12"/>
  <c r="AN26" i="12"/>
  <c r="AM26" i="12"/>
  <c r="AD26" i="12"/>
  <c r="AA26" i="12"/>
  <c r="Z26" i="12"/>
  <c r="Y26" i="12"/>
  <c r="AO25" i="12"/>
  <c r="AN25" i="12"/>
  <c r="AM25" i="12"/>
  <c r="AD25" i="12"/>
  <c r="AA25" i="12"/>
  <c r="Z25" i="12"/>
  <c r="Y25" i="12"/>
  <c r="AO24" i="12"/>
  <c r="AN24" i="12"/>
  <c r="AM24" i="12"/>
  <c r="AD24" i="12"/>
  <c r="AA24" i="12"/>
  <c r="Z24" i="12"/>
  <c r="Y24" i="12"/>
  <c r="AO23" i="12"/>
  <c r="AN23" i="12"/>
  <c r="AM23" i="12"/>
  <c r="AD23" i="12"/>
  <c r="AA23" i="12"/>
  <c r="Z23" i="12"/>
  <c r="Y23" i="12"/>
  <c r="AO22" i="12"/>
  <c r="AN22" i="12"/>
  <c r="AM22" i="12"/>
  <c r="AD22" i="12"/>
  <c r="AA22" i="12"/>
  <c r="Z22" i="12"/>
  <c r="Y22" i="12"/>
  <c r="AO21" i="12"/>
  <c r="AN21" i="12"/>
  <c r="AM21" i="12"/>
  <c r="AD21" i="12"/>
  <c r="AA21" i="12"/>
  <c r="Z21" i="12"/>
  <c r="Y21" i="12"/>
  <c r="AO20" i="12"/>
  <c r="AN20" i="12"/>
  <c r="AM20" i="12"/>
  <c r="AD20" i="12"/>
  <c r="AA20" i="12"/>
  <c r="Z20" i="12"/>
  <c r="Y20" i="12"/>
  <c r="AO19" i="12"/>
  <c r="AN19" i="12"/>
  <c r="AM19" i="12"/>
  <c r="AD19" i="12"/>
  <c r="AA19" i="12"/>
  <c r="Z19" i="12"/>
  <c r="Y19" i="12"/>
  <c r="AO18" i="12"/>
  <c r="AN18" i="12"/>
  <c r="AM18" i="12"/>
  <c r="AD18" i="12"/>
  <c r="AA18" i="12"/>
  <c r="Z18" i="12"/>
  <c r="Y18" i="12"/>
  <c r="AO17" i="12"/>
  <c r="AN17" i="12"/>
  <c r="AM17" i="12"/>
  <c r="AD17" i="12"/>
  <c r="AA17" i="12"/>
  <c r="Z17" i="12"/>
  <c r="Y17" i="12"/>
  <c r="AO16" i="12"/>
  <c r="AN16" i="12"/>
  <c r="AM16" i="12"/>
  <c r="AD16" i="12"/>
  <c r="AA16" i="12"/>
  <c r="Z16" i="12"/>
  <c r="Y16" i="12"/>
  <c r="AO15" i="12"/>
  <c r="AN15" i="12"/>
  <c r="AM15" i="12"/>
  <c r="AD15" i="12"/>
  <c r="AA15" i="12"/>
  <c r="Z15" i="12"/>
  <c r="Y15" i="12"/>
  <c r="AO14" i="12"/>
  <c r="AN14" i="12"/>
  <c r="AM14" i="12"/>
  <c r="AD14" i="12"/>
  <c r="AA14" i="12"/>
  <c r="Z14" i="12"/>
  <c r="Y14" i="12"/>
  <c r="AO13" i="12"/>
  <c r="AN13" i="12"/>
  <c r="AM13" i="12"/>
  <c r="AD13" i="12"/>
  <c r="AA13" i="12"/>
  <c r="Z13" i="12"/>
  <c r="Y13" i="12"/>
  <c r="AO12" i="12"/>
  <c r="AN12" i="12"/>
  <c r="AM12" i="12"/>
  <c r="AD12" i="12"/>
  <c r="AA12" i="12"/>
  <c r="Z12" i="12"/>
  <c r="Y12" i="12"/>
  <c r="AO11" i="12"/>
  <c r="AN11" i="12"/>
  <c r="AM11" i="12"/>
  <c r="AD11" i="12"/>
  <c r="AA11" i="12"/>
  <c r="Z11" i="12"/>
  <c r="Y11" i="12"/>
  <c r="AO10" i="12"/>
  <c r="AN10" i="12"/>
  <c r="AM10" i="12"/>
  <c r="AD10" i="12"/>
  <c r="AA10" i="12"/>
  <c r="Z10" i="12"/>
  <c r="Y10" i="12"/>
  <c r="AO9" i="12"/>
  <c r="AN9" i="12"/>
  <c r="AM9" i="12"/>
  <c r="AD9" i="12"/>
  <c r="AA9" i="12"/>
  <c r="Z9" i="12"/>
  <c r="Y9" i="12"/>
  <c r="AO8" i="12"/>
  <c r="AN8" i="12"/>
  <c r="AM8" i="12"/>
  <c r="AD8" i="12"/>
  <c r="AA8" i="12"/>
  <c r="Z8" i="12"/>
  <c r="Y8" i="12"/>
  <c r="B11" i="12"/>
  <c r="B15" i="12" s="1"/>
  <c r="B19" i="12" s="1"/>
  <c r="B23" i="12" s="1"/>
  <c r="B27" i="12" s="1"/>
  <c r="B31" i="12" s="1"/>
  <c r="B35" i="12" s="1"/>
  <c r="B39" i="12" s="1"/>
  <c r="B43" i="12" s="1"/>
  <c r="B47" i="12" s="1"/>
  <c r="B51" i="12" s="1"/>
  <c r="B55" i="12" s="1"/>
  <c r="B59" i="12" s="1"/>
  <c r="B63" i="12" s="1"/>
  <c r="B67" i="12" s="1"/>
  <c r="B71" i="12" s="1"/>
  <c r="B75" i="12" s="1"/>
  <c r="B79" i="12" s="1"/>
  <c r="B83" i="12" s="1"/>
  <c r="B87" i="12" s="1"/>
  <c r="B91" i="12" s="1"/>
  <c r="B95" i="12" s="1"/>
  <c r="B99" i="12" s="1"/>
  <c r="B103" i="12" s="1"/>
  <c r="B107" i="12" s="1"/>
  <c r="B10" i="12"/>
  <c r="B14" i="12" s="1"/>
  <c r="B18" i="12" s="1"/>
  <c r="B22" i="12" s="1"/>
  <c r="B26" i="12" s="1"/>
  <c r="B30" i="12" s="1"/>
  <c r="B34" i="12" s="1"/>
  <c r="B38" i="12" s="1"/>
  <c r="B42" i="12" s="1"/>
  <c r="B46" i="12" s="1"/>
  <c r="B50" i="12" s="1"/>
  <c r="B54" i="12" s="1"/>
  <c r="B58" i="12" s="1"/>
  <c r="B62" i="12" s="1"/>
  <c r="B66" i="12" s="1"/>
  <c r="B70" i="12" s="1"/>
  <c r="B74" i="12" s="1"/>
  <c r="B78" i="12" s="1"/>
  <c r="B82" i="12" s="1"/>
  <c r="B86" i="12" s="1"/>
  <c r="B90" i="12" s="1"/>
  <c r="B94" i="12" s="1"/>
  <c r="B98" i="12" s="1"/>
  <c r="B102" i="12" s="1"/>
  <c r="B106" i="12" s="1"/>
  <c r="B9" i="12"/>
  <c r="B13" i="12" s="1"/>
  <c r="B17" i="12" s="1"/>
  <c r="B21" i="12" s="1"/>
  <c r="B25" i="12" s="1"/>
  <c r="B29" i="12" s="1"/>
  <c r="B33" i="12" s="1"/>
  <c r="B37" i="12" s="1"/>
  <c r="B41" i="12" s="1"/>
  <c r="B45" i="12" s="1"/>
  <c r="B49" i="12" s="1"/>
  <c r="B53" i="12" s="1"/>
  <c r="B57" i="12" s="1"/>
  <c r="B61" i="12" s="1"/>
  <c r="B65" i="12" s="1"/>
  <c r="B69" i="12" s="1"/>
  <c r="B73" i="12" s="1"/>
  <c r="B77" i="12" s="1"/>
  <c r="B81" i="12" s="1"/>
  <c r="B85" i="12" s="1"/>
  <c r="B89" i="12" s="1"/>
  <c r="B93" i="12" s="1"/>
  <c r="B97" i="12" s="1"/>
  <c r="B101" i="12" s="1"/>
  <c r="B105" i="12" s="1"/>
  <c r="B8" i="12"/>
  <c r="B12" i="12" s="1"/>
  <c r="B16" i="12" s="1"/>
  <c r="B20" i="12" s="1"/>
  <c r="B24" i="12" s="1"/>
  <c r="B28" i="12" s="1"/>
  <c r="B32" i="12" s="1"/>
  <c r="B36" i="12" s="1"/>
  <c r="B40" i="12" s="1"/>
  <c r="B44" i="12" s="1"/>
  <c r="B48" i="12" s="1"/>
  <c r="B52" i="12" s="1"/>
  <c r="B56" i="12" s="1"/>
  <c r="B60" i="12" s="1"/>
  <c r="B64" i="12" s="1"/>
  <c r="B68" i="12" s="1"/>
  <c r="B72" i="12" s="1"/>
  <c r="B76" i="12" s="1"/>
  <c r="B80" i="12" s="1"/>
  <c r="B84" i="12" s="1"/>
  <c r="B88" i="12" s="1"/>
  <c r="B92" i="12" s="1"/>
  <c r="B96" i="12" s="1"/>
  <c r="B100" i="12" s="1"/>
  <c r="B104" i="12" s="1"/>
  <c r="A8" i="12"/>
  <c r="A12" i="12" s="1"/>
  <c r="A16" i="12" s="1"/>
  <c r="A20" i="12" s="1"/>
  <c r="A24" i="12" s="1"/>
  <c r="A28" i="12" s="1"/>
  <c r="A32" i="12" s="1"/>
  <c r="A36" i="12" s="1"/>
  <c r="A40" i="12" s="1"/>
  <c r="A44" i="12" s="1"/>
  <c r="A48" i="12" s="1"/>
  <c r="A52" i="12" s="1"/>
  <c r="A56" i="12" s="1"/>
  <c r="A60" i="12" s="1"/>
  <c r="A64" i="12" s="1"/>
  <c r="A68" i="12" s="1"/>
  <c r="A72" i="12" s="1"/>
  <c r="A76" i="12" s="1"/>
  <c r="A80" i="12" s="1"/>
  <c r="A84" i="12" s="1"/>
  <c r="A88" i="12" s="1"/>
  <c r="A92" i="12" s="1"/>
  <c r="A96" i="12" s="1"/>
  <c r="A100" i="12" s="1"/>
  <c r="A104" i="12" s="1"/>
  <c r="AM104" i="9"/>
  <c r="AM103" i="9"/>
  <c r="AM102" i="9"/>
  <c r="AM101" i="9"/>
  <c r="AM100" i="9"/>
  <c r="AM99" i="9"/>
  <c r="AM98" i="9"/>
  <c r="AM97" i="9"/>
  <c r="AM96" i="9"/>
  <c r="AM95" i="9"/>
  <c r="AM94" i="9"/>
  <c r="AM93" i="9"/>
  <c r="AM92" i="9"/>
  <c r="AM91" i="9"/>
  <c r="AM90" i="9"/>
  <c r="AM89" i="9"/>
  <c r="AM88" i="9"/>
  <c r="AM87" i="9"/>
  <c r="AM86" i="9"/>
  <c r="AM85" i="9"/>
  <c r="AM84" i="9"/>
  <c r="AM83" i="9"/>
  <c r="AM82" i="9"/>
  <c r="AM81" i="9"/>
  <c r="AM80" i="9"/>
  <c r="AM79" i="9"/>
  <c r="AM78" i="9"/>
  <c r="AM77" i="9"/>
  <c r="AM76" i="9"/>
  <c r="AM75" i="9"/>
  <c r="AM74" i="9"/>
  <c r="AM73" i="9"/>
  <c r="AM72" i="9"/>
  <c r="AM71" i="9"/>
  <c r="AM70" i="9"/>
  <c r="AM69" i="9"/>
  <c r="AM68" i="9"/>
  <c r="AM67" i="9"/>
  <c r="B5" i="14" l="1"/>
  <c r="B17" i="14" s="1"/>
  <c r="B29" i="14" s="1"/>
  <c r="B41" i="14" s="1"/>
  <c r="B53" i="14" s="1"/>
  <c r="B65" i="14" s="1"/>
  <c r="B77" i="14" s="1"/>
  <c r="B89" i="14" s="1"/>
  <c r="B101" i="14" s="1"/>
  <c r="B113" i="14" s="1"/>
  <c r="B125" i="14" s="1"/>
  <c r="B137" i="14" s="1"/>
  <c r="B149" i="14" s="1"/>
  <c r="B161" i="14" s="1"/>
  <c r="B173" i="14" s="1"/>
  <c r="B185" i="14" s="1"/>
  <c r="B197" i="14" s="1"/>
  <c r="B209" i="14" s="1"/>
  <c r="B221" i="14" s="1"/>
  <c r="B233" i="14" s="1"/>
  <c r="B245" i="14" s="1"/>
  <c r="B257" i="14" s="1"/>
  <c r="B269" i="14" s="1"/>
  <c r="B281" i="14" s="1"/>
  <c r="B293" i="14" s="1"/>
  <c r="B305" i="14" s="1"/>
  <c r="B317" i="14" s="1"/>
  <c r="B6" i="14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L8" i="9"/>
  <c r="L12" i="9" s="1"/>
  <c r="L16" i="9" s="1"/>
  <c r="L20" i="9" s="1"/>
  <c r="L24" i="9" s="1"/>
  <c r="L28" i="9" s="1"/>
  <c r="L32" i="9" s="1"/>
  <c r="L36" i="9" s="1"/>
  <c r="L40" i="9" s="1"/>
  <c r="L44" i="9" s="1"/>
  <c r="L48" i="9" s="1"/>
  <c r="L52" i="9" s="1"/>
  <c r="L56" i="9" s="1"/>
  <c r="L60" i="9" s="1"/>
  <c r="L64" i="9" s="1"/>
  <c r="L68" i="9" s="1"/>
  <c r="L72" i="9" s="1"/>
  <c r="L76" i="9" s="1"/>
  <c r="L80" i="9" s="1"/>
  <c r="L84" i="9" s="1"/>
  <c r="L88" i="9" s="1"/>
  <c r="L92" i="9" s="1"/>
  <c r="L96" i="9" s="1"/>
  <c r="L100" i="9" s="1"/>
  <c r="L104" i="9" s="1"/>
  <c r="L9" i="9"/>
  <c r="L13" i="9" s="1"/>
  <c r="L17" i="9" s="1"/>
  <c r="L21" i="9" s="1"/>
  <c r="L25" i="9" s="1"/>
  <c r="L29" i="9" s="1"/>
  <c r="L33" i="9" s="1"/>
  <c r="L37" i="9" s="1"/>
  <c r="L41" i="9" s="1"/>
  <c r="L45" i="9" s="1"/>
  <c r="L49" i="9" s="1"/>
  <c r="L53" i="9" s="1"/>
  <c r="L57" i="9" s="1"/>
  <c r="L61" i="9" s="1"/>
  <c r="L65" i="9" s="1"/>
  <c r="L69" i="9" s="1"/>
  <c r="L73" i="9" s="1"/>
  <c r="L77" i="9" s="1"/>
  <c r="L81" i="9" s="1"/>
  <c r="L85" i="9" s="1"/>
  <c r="L89" i="9" s="1"/>
  <c r="L93" i="9" s="1"/>
  <c r="L97" i="9" s="1"/>
  <c r="L101" i="9" s="1"/>
  <c r="L105" i="9" s="1"/>
  <c r="L10" i="9"/>
  <c r="L14" i="9" s="1"/>
  <c r="L18" i="9" s="1"/>
  <c r="L22" i="9" s="1"/>
  <c r="L26" i="9" s="1"/>
  <c r="L30" i="9" s="1"/>
  <c r="L34" i="9" s="1"/>
  <c r="L38" i="9" s="1"/>
  <c r="L42" i="9" s="1"/>
  <c r="L46" i="9" s="1"/>
  <c r="L50" i="9" s="1"/>
  <c r="L54" i="9" s="1"/>
  <c r="L58" i="9" s="1"/>
  <c r="L62" i="9" s="1"/>
  <c r="L66" i="9" s="1"/>
  <c r="L70" i="9" s="1"/>
  <c r="L74" i="9" s="1"/>
  <c r="L78" i="9" s="1"/>
  <c r="L82" i="9" s="1"/>
  <c r="L86" i="9" s="1"/>
  <c r="L90" i="9" s="1"/>
  <c r="L94" i="9" s="1"/>
  <c r="L98" i="9" s="1"/>
  <c r="L102" i="9" s="1"/>
  <c r="L106" i="9" s="1"/>
  <c r="K7" i="9"/>
  <c r="K11" i="9" s="1"/>
  <c r="K15" i="9" s="1"/>
  <c r="K19" i="9" s="1"/>
  <c r="K23" i="9" s="1"/>
  <c r="K27" i="9" s="1"/>
  <c r="K31" i="9" s="1"/>
  <c r="K35" i="9" s="1"/>
  <c r="K39" i="9" s="1"/>
  <c r="K43" i="9" s="1"/>
  <c r="K47" i="9" s="1"/>
  <c r="K51" i="9" s="1"/>
  <c r="K55" i="9" s="1"/>
  <c r="K59" i="9" s="1"/>
  <c r="K63" i="9" s="1"/>
  <c r="K67" i="9" s="1"/>
  <c r="K71" i="9" s="1"/>
  <c r="K75" i="9" s="1"/>
  <c r="K79" i="9" s="1"/>
  <c r="K83" i="9" s="1"/>
  <c r="K87" i="9" s="1"/>
  <c r="K91" i="9" s="1"/>
  <c r="K95" i="9" s="1"/>
  <c r="K99" i="9" s="1"/>
  <c r="K103" i="9" s="1"/>
  <c r="L7" i="9"/>
  <c r="L11" i="9" s="1"/>
  <c r="L15" i="9" s="1"/>
  <c r="L19" i="9" s="1"/>
  <c r="L23" i="9" s="1"/>
  <c r="L27" i="9" s="1"/>
  <c r="L31" i="9" s="1"/>
  <c r="L35" i="9" s="1"/>
  <c r="L39" i="9" s="1"/>
  <c r="L43" i="9" s="1"/>
  <c r="L47" i="9" s="1"/>
  <c r="L51" i="9" s="1"/>
  <c r="L55" i="9" s="1"/>
  <c r="L59" i="9" s="1"/>
  <c r="L63" i="9" s="1"/>
  <c r="L67" i="9" s="1"/>
  <c r="L71" i="9" s="1"/>
  <c r="L75" i="9" s="1"/>
  <c r="L79" i="9" s="1"/>
  <c r="L83" i="9" s="1"/>
  <c r="L87" i="9" s="1"/>
  <c r="L91" i="9" s="1"/>
  <c r="L95" i="9" s="1"/>
  <c r="L99" i="9" s="1"/>
  <c r="L103" i="9" s="1"/>
  <c r="L15" i="10"/>
  <c r="L27" i="10" s="1"/>
  <c r="L39" i="10" s="1"/>
  <c r="L51" i="10" s="1"/>
  <c r="L63" i="10" s="1"/>
  <c r="L75" i="10" s="1"/>
  <c r="L87" i="10" s="1"/>
  <c r="L99" i="10" s="1"/>
  <c r="L111" i="10" s="1"/>
  <c r="L123" i="10" s="1"/>
  <c r="L135" i="10" s="1"/>
  <c r="L147" i="10" s="1"/>
  <c r="L159" i="10" s="1"/>
  <c r="L171" i="10" s="1"/>
  <c r="L183" i="10" s="1"/>
  <c r="L195" i="10" s="1"/>
  <c r="L207" i="10" s="1"/>
  <c r="L219" i="10" s="1"/>
  <c r="L231" i="10" s="1"/>
  <c r="L243" i="10" s="1"/>
  <c r="L255" i="10" s="1"/>
  <c r="L267" i="10" s="1"/>
  <c r="L279" i="10" s="1"/>
  <c r="L291" i="10" s="1"/>
  <c r="L303" i="10" s="1"/>
  <c r="K15" i="10"/>
  <c r="K27" i="10" s="1"/>
  <c r="K39" i="10" s="1"/>
  <c r="K51" i="10" s="1"/>
  <c r="K63" i="10" s="1"/>
  <c r="K75" i="10" s="1"/>
  <c r="K87" i="10" s="1"/>
  <c r="K99" i="10" s="1"/>
  <c r="K111" i="10" s="1"/>
  <c r="K123" i="10" s="1"/>
  <c r="K135" i="10" s="1"/>
  <c r="K147" i="10" s="1"/>
  <c r="K159" i="10" s="1"/>
  <c r="K171" i="10" s="1"/>
  <c r="K183" i="10" s="1"/>
  <c r="K195" i="10" s="1"/>
  <c r="K207" i="10" s="1"/>
  <c r="K219" i="10" s="1"/>
  <c r="K231" i="10" s="1"/>
  <c r="K243" i="10" s="1"/>
  <c r="K255" i="10" s="1"/>
  <c r="K267" i="10" s="1"/>
  <c r="K279" i="10" s="1"/>
  <c r="K291" i="10" s="1"/>
  <c r="K303" i="10" s="1"/>
  <c r="L4" i="10"/>
  <c r="L5" i="10" s="1"/>
  <c r="L6" i="10" s="1"/>
  <c r="L7" i="10" s="1"/>
  <c r="L8" i="10" s="1"/>
  <c r="L9" i="10" s="1"/>
  <c r="L10" i="10" s="1"/>
  <c r="L11" i="10" s="1"/>
  <c r="L12" i="10" s="1"/>
  <c r="L13" i="10" s="1"/>
  <c r="L14" i="10" s="1"/>
  <c r="L26" i="10" s="1"/>
  <c r="L38" i="10" s="1"/>
  <c r="L50" i="10" s="1"/>
  <c r="L62" i="10" s="1"/>
  <c r="L74" i="10" s="1"/>
  <c r="L86" i="10" s="1"/>
  <c r="L98" i="10" s="1"/>
  <c r="L110" i="10" s="1"/>
  <c r="L122" i="10" s="1"/>
  <c r="L134" i="10" s="1"/>
  <c r="L146" i="10" s="1"/>
  <c r="L158" i="10" s="1"/>
  <c r="L170" i="10" s="1"/>
  <c r="L182" i="10" s="1"/>
  <c r="L194" i="10" s="1"/>
  <c r="L206" i="10" s="1"/>
  <c r="L218" i="10" s="1"/>
  <c r="L230" i="10" s="1"/>
  <c r="L242" i="10" s="1"/>
  <c r="L254" i="10" s="1"/>
  <c r="L266" i="10" s="1"/>
  <c r="L278" i="10" s="1"/>
  <c r="L290" i="10" s="1"/>
  <c r="L302" i="10" s="1"/>
  <c r="L314" i="10" s="1"/>
  <c r="B18" i="14" l="1"/>
  <c r="B30" i="14" s="1"/>
  <c r="B42" i="14" s="1"/>
  <c r="B54" i="14" s="1"/>
  <c r="B66" i="14" s="1"/>
  <c r="B78" i="14" s="1"/>
  <c r="B90" i="14" s="1"/>
  <c r="B102" i="14" s="1"/>
  <c r="B114" i="14" s="1"/>
  <c r="B126" i="14" s="1"/>
  <c r="B138" i="14" s="1"/>
  <c r="B150" i="14" s="1"/>
  <c r="B162" i="14" s="1"/>
  <c r="B174" i="14" s="1"/>
  <c r="B186" i="14" s="1"/>
  <c r="B198" i="14" s="1"/>
  <c r="B210" i="14" s="1"/>
  <c r="B222" i="14" s="1"/>
  <c r="B234" i="14" s="1"/>
  <c r="B246" i="14" s="1"/>
  <c r="B258" i="14" s="1"/>
  <c r="B270" i="14" s="1"/>
  <c r="B282" i="14" s="1"/>
  <c r="B294" i="14" s="1"/>
  <c r="B306" i="14" s="1"/>
  <c r="B318" i="14" s="1"/>
  <c r="B7" i="14"/>
  <c r="L18" i="10"/>
  <c r="L30" i="10" s="1"/>
  <c r="L42" i="10" s="1"/>
  <c r="L54" i="10" s="1"/>
  <c r="L66" i="10" s="1"/>
  <c r="L78" i="10" s="1"/>
  <c r="L90" i="10" s="1"/>
  <c r="L102" i="10" s="1"/>
  <c r="L114" i="10" s="1"/>
  <c r="L126" i="10" s="1"/>
  <c r="L138" i="10" s="1"/>
  <c r="L150" i="10" s="1"/>
  <c r="L162" i="10" s="1"/>
  <c r="L174" i="10" s="1"/>
  <c r="L186" i="10" s="1"/>
  <c r="L198" i="10" s="1"/>
  <c r="L210" i="10" s="1"/>
  <c r="L222" i="10" s="1"/>
  <c r="L234" i="10" s="1"/>
  <c r="L246" i="10" s="1"/>
  <c r="L258" i="10" s="1"/>
  <c r="L270" i="10" s="1"/>
  <c r="L282" i="10" s="1"/>
  <c r="L294" i="10" s="1"/>
  <c r="L306" i="10" s="1"/>
  <c r="L17" i="10"/>
  <c r="L29" i="10" s="1"/>
  <c r="L41" i="10" s="1"/>
  <c r="L53" i="10" s="1"/>
  <c r="L65" i="10" s="1"/>
  <c r="L77" i="10" s="1"/>
  <c r="L89" i="10" s="1"/>
  <c r="L101" i="10" s="1"/>
  <c r="L113" i="10" s="1"/>
  <c r="L125" i="10" s="1"/>
  <c r="L137" i="10" s="1"/>
  <c r="L149" i="10" s="1"/>
  <c r="L161" i="10" s="1"/>
  <c r="L173" i="10" s="1"/>
  <c r="L185" i="10" s="1"/>
  <c r="L197" i="10" s="1"/>
  <c r="L209" i="10" s="1"/>
  <c r="L221" i="10" s="1"/>
  <c r="L233" i="10" s="1"/>
  <c r="L245" i="10" s="1"/>
  <c r="L257" i="10" s="1"/>
  <c r="L269" i="10" s="1"/>
  <c r="L281" i="10" s="1"/>
  <c r="L293" i="10" s="1"/>
  <c r="L305" i="10" s="1"/>
  <c r="L19" i="10"/>
  <c r="L31" i="10" s="1"/>
  <c r="L43" i="10" s="1"/>
  <c r="L55" i="10" s="1"/>
  <c r="L67" i="10" s="1"/>
  <c r="L79" i="10" s="1"/>
  <c r="L91" i="10" s="1"/>
  <c r="L103" i="10" s="1"/>
  <c r="L115" i="10" s="1"/>
  <c r="L127" i="10" s="1"/>
  <c r="L139" i="10" s="1"/>
  <c r="L151" i="10" s="1"/>
  <c r="L163" i="10" s="1"/>
  <c r="L175" i="10" s="1"/>
  <c r="L187" i="10" s="1"/>
  <c r="L199" i="10" s="1"/>
  <c r="L211" i="10" s="1"/>
  <c r="L223" i="10" s="1"/>
  <c r="L235" i="10" s="1"/>
  <c r="L247" i="10" s="1"/>
  <c r="L259" i="10" s="1"/>
  <c r="L271" i="10" s="1"/>
  <c r="L283" i="10" s="1"/>
  <c r="L295" i="10" s="1"/>
  <c r="L307" i="10" s="1"/>
  <c r="L16" i="10"/>
  <c r="L28" i="10" s="1"/>
  <c r="L40" i="10" s="1"/>
  <c r="L52" i="10" s="1"/>
  <c r="L64" i="10" s="1"/>
  <c r="L76" i="10" s="1"/>
  <c r="L88" i="10" s="1"/>
  <c r="L100" i="10" s="1"/>
  <c r="L112" i="10" s="1"/>
  <c r="L124" i="10" s="1"/>
  <c r="L136" i="10" s="1"/>
  <c r="L148" i="10" s="1"/>
  <c r="L160" i="10" s="1"/>
  <c r="L172" i="10" s="1"/>
  <c r="L184" i="10" s="1"/>
  <c r="L196" i="10" s="1"/>
  <c r="L208" i="10" s="1"/>
  <c r="L220" i="10" s="1"/>
  <c r="L232" i="10" s="1"/>
  <c r="L244" i="10" s="1"/>
  <c r="L256" i="10" s="1"/>
  <c r="L268" i="10" s="1"/>
  <c r="L280" i="10" s="1"/>
  <c r="L292" i="10" s="1"/>
  <c r="L304" i="10" s="1"/>
  <c r="L25" i="10"/>
  <c r="L37" i="10" s="1"/>
  <c r="L49" i="10" s="1"/>
  <c r="L61" i="10" s="1"/>
  <c r="L73" i="10" s="1"/>
  <c r="L85" i="10" s="1"/>
  <c r="L97" i="10" s="1"/>
  <c r="L109" i="10" s="1"/>
  <c r="L121" i="10" s="1"/>
  <c r="L133" i="10" s="1"/>
  <c r="L145" i="10" s="1"/>
  <c r="L157" i="10" s="1"/>
  <c r="L169" i="10" s="1"/>
  <c r="L181" i="10" s="1"/>
  <c r="L193" i="10" s="1"/>
  <c r="L205" i="10" s="1"/>
  <c r="L217" i="10" s="1"/>
  <c r="L229" i="10" s="1"/>
  <c r="L241" i="10" s="1"/>
  <c r="L253" i="10" s="1"/>
  <c r="L265" i="10" s="1"/>
  <c r="L277" i="10" s="1"/>
  <c r="L289" i="10" s="1"/>
  <c r="L301" i="10" s="1"/>
  <c r="L313" i="10" s="1"/>
  <c r="L24" i="10"/>
  <c r="L36" i="10" s="1"/>
  <c r="L48" i="10" s="1"/>
  <c r="L60" i="10" s="1"/>
  <c r="L72" i="10" s="1"/>
  <c r="L84" i="10" s="1"/>
  <c r="L96" i="10" s="1"/>
  <c r="L108" i="10" s="1"/>
  <c r="L120" i="10" s="1"/>
  <c r="L132" i="10" s="1"/>
  <c r="L144" i="10" s="1"/>
  <c r="L156" i="10" s="1"/>
  <c r="L168" i="10" s="1"/>
  <c r="L180" i="10" s="1"/>
  <c r="L192" i="10" s="1"/>
  <c r="L204" i="10" s="1"/>
  <c r="L216" i="10" s="1"/>
  <c r="L228" i="10" s="1"/>
  <c r="L240" i="10" s="1"/>
  <c r="L252" i="10" s="1"/>
  <c r="L264" i="10" s="1"/>
  <c r="L276" i="10" s="1"/>
  <c r="L288" i="10" s="1"/>
  <c r="L300" i="10" s="1"/>
  <c r="L312" i="10" s="1"/>
  <c r="L23" i="10"/>
  <c r="L35" i="10" s="1"/>
  <c r="L47" i="10" s="1"/>
  <c r="L59" i="10" s="1"/>
  <c r="L71" i="10" s="1"/>
  <c r="L83" i="10" s="1"/>
  <c r="L95" i="10" s="1"/>
  <c r="L107" i="10" s="1"/>
  <c r="L119" i="10" s="1"/>
  <c r="L131" i="10" s="1"/>
  <c r="L143" i="10" s="1"/>
  <c r="L155" i="10" s="1"/>
  <c r="L167" i="10" s="1"/>
  <c r="L179" i="10" s="1"/>
  <c r="L191" i="10" s="1"/>
  <c r="L203" i="10" s="1"/>
  <c r="L215" i="10" s="1"/>
  <c r="L227" i="10" s="1"/>
  <c r="L239" i="10" s="1"/>
  <c r="L251" i="10" s="1"/>
  <c r="L263" i="10" s="1"/>
  <c r="L275" i="10" s="1"/>
  <c r="L287" i="10" s="1"/>
  <c r="L299" i="10" s="1"/>
  <c r="L311" i="10" s="1"/>
  <c r="L22" i="10"/>
  <c r="L34" i="10" s="1"/>
  <c r="L46" i="10" s="1"/>
  <c r="L58" i="10" s="1"/>
  <c r="L70" i="10" s="1"/>
  <c r="L82" i="10" s="1"/>
  <c r="L94" i="10" s="1"/>
  <c r="L106" i="10" s="1"/>
  <c r="L118" i="10" s="1"/>
  <c r="L130" i="10" s="1"/>
  <c r="L142" i="10" s="1"/>
  <c r="L154" i="10" s="1"/>
  <c r="L166" i="10" s="1"/>
  <c r="L178" i="10" s="1"/>
  <c r="L190" i="10" s="1"/>
  <c r="L202" i="10" s="1"/>
  <c r="L214" i="10" s="1"/>
  <c r="L226" i="10" s="1"/>
  <c r="L238" i="10" s="1"/>
  <c r="L250" i="10" s="1"/>
  <c r="L262" i="10" s="1"/>
  <c r="L274" i="10" s="1"/>
  <c r="L286" i="10" s="1"/>
  <c r="L298" i="10" s="1"/>
  <c r="L310" i="10" s="1"/>
  <c r="L21" i="10"/>
  <c r="L33" i="10" s="1"/>
  <c r="L45" i="10" s="1"/>
  <c r="L57" i="10" s="1"/>
  <c r="L69" i="10" s="1"/>
  <c r="L81" i="10" s="1"/>
  <c r="L93" i="10" s="1"/>
  <c r="L105" i="10" s="1"/>
  <c r="L117" i="10" s="1"/>
  <c r="L129" i="10" s="1"/>
  <c r="L141" i="10" s="1"/>
  <c r="L153" i="10" s="1"/>
  <c r="L165" i="10" s="1"/>
  <c r="L177" i="10" s="1"/>
  <c r="L189" i="10" s="1"/>
  <c r="L201" i="10" s="1"/>
  <c r="L213" i="10" s="1"/>
  <c r="L225" i="10" s="1"/>
  <c r="L237" i="10" s="1"/>
  <c r="L249" i="10" s="1"/>
  <c r="L261" i="10" s="1"/>
  <c r="L273" i="10" s="1"/>
  <c r="L285" i="10" s="1"/>
  <c r="L297" i="10" s="1"/>
  <c r="L309" i="10" s="1"/>
  <c r="L20" i="10"/>
  <c r="L32" i="10" s="1"/>
  <c r="L44" i="10" s="1"/>
  <c r="L56" i="10" s="1"/>
  <c r="L68" i="10" s="1"/>
  <c r="L80" i="10" s="1"/>
  <c r="L92" i="10" s="1"/>
  <c r="L104" i="10" s="1"/>
  <c r="L116" i="10" s="1"/>
  <c r="L128" i="10" s="1"/>
  <c r="L140" i="10" s="1"/>
  <c r="L152" i="10" s="1"/>
  <c r="L164" i="10" s="1"/>
  <c r="L176" i="10" s="1"/>
  <c r="L188" i="10" s="1"/>
  <c r="L200" i="10" s="1"/>
  <c r="L212" i="10" s="1"/>
  <c r="L224" i="10" s="1"/>
  <c r="L236" i="10" s="1"/>
  <c r="L248" i="10" s="1"/>
  <c r="L260" i="10" s="1"/>
  <c r="L272" i="10" s="1"/>
  <c r="L284" i="10" s="1"/>
  <c r="L296" i="10" s="1"/>
  <c r="L308" i="10" s="1"/>
  <c r="B19" i="14" l="1"/>
  <c r="B31" i="14" s="1"/>
  <c r="B43" i="14" s="1"/>
  <c r="B55" i="14" s="1"/>
  <c r="B67" i="14" s="1"/>
  <c r="B79" i="14" s="1"/>
  <c r="B91" i="14" s="1"/>
  <c r="B103" i="14" s="1"/>
  <c r="B115" i="14" s="1"/>
  <c r="B127" i="14" s="1"/>
  <c r="B139" i="14" s="1"/>
  <c r="B151" i="14" s="1"/>
  <c r="B163" i="14" s="1"/>
  <c r="B175" i="14" s="1"/>
  <c r="B187" i="14" s="1"/>
  <c r="B199" i="14" s="1"/>
  <c r="B211" i="14" s="1"/>
  <c r="B223" i="14" s="1"/>
  <c r="B235" i="14" s="1"/>
  <c r="B247" i="14" s="1"/>
  <c r="B259" i="14" s="1"/>
  <c r="B271" i="14" s="1"/>
  <c r="B283" i="14" s="1"/>
  <c r="B295" i="14" s="1"/>
  <c r="B307" i="14" s="1"/>
  <c r="B319" i="14" s="1"/>
  <c r="B8" i="14"/>
  <c r="B20" i="14" l="1"/>
  <c r="B32" i="14" s="1"/>
  <c r="B44" i="14" s="1"/>
  <c r="B56" i="14" s="1"/>
  <c r="B68" i="14" s="1"/>
  <c r="B80" i="14" s="1"/>
  <c r="B92" i="14" s="1"/>
  <c r="B104" i="14" s="1"/>
  <c r="B116" i="14" s="1"/>
  <c r="B128" i="14" s="1"/>
  <c r="B140" i="14" s="1"/>
  <c r="B152" i="14" s="1"/>
  <c r="B164" i="14" s="1"/>
  <c r="B176" i="14" s="1"/>
  <c r="B188" i="14" s="1"/>
  <c r="B200" i="14" s="1"/>
  <c r="B212" i="14" s="1"/>
  <c r="B224" i="14" s="1"/>
  <c r="B236" i="14" s="1"/>
  <c r="B248" i="14" s="1"/>
  <c r="B260" i="14" s="1"/>
  <c r="B272" i="14" s="1"/>
  <c r="B284" i="14" s="1"/>
  <c r="B296" i="14" s="1"/>
  <c r="B308" i="14" s="1"/>
  <c r="B320" i="14" s="1"/>
  <c r="B9" i="14"/>
  <c r="B21" i="14" l="1"/>
  <c r="B33" i="14" s="1"/>
  <c r="B45" i="14" s="1"/>
  <c r="B57" i="14" s="1"/>
  <c r="B69" i="14" s="1"/>
  <c r="B81" i="14" s="1"/>
  <c r="B93" i="14" s="1"/>
  <c r="B105" i="14" s="1"/>
  <c r="B117" i="14" s="1"/>
  <c r="B129" i="14" s="1"/>
  <c r="B141" i="14" s="1"/>
  <c r="B153" i="14" s="1"/>
  <c r="B165" i="14" s="1"/>
  <c r="B177" i="14" s="1"/>
  <c r="B189" i="14" s="1"/>
  <c r="B201" i="14" s="1"/>
  <c r="B213" i="14" s="1"/>
  <c r="B225" i="14" s="1"/>
  <c r="B237" i="14" s="1"/>
  <c r="B249" i="14" s="1"/>
  <c r="B261" i="14" s="1"/>
  <c r="B273" i="14" s="1"/>
  <c r="B285" i="14" s="1"/>
  <c r="B297" i="14" s="1"/>
  <c r="B309" i="14" s="1"/>
  <c r="B321" i="14" s="1"/>
  <c r="B10" i="14"/>
  <c r="B22" i="14" l="1"/>
  <c r="B34" i="14" s="1"/>
  <c r="B46" i="14" s="1"/>
  <c r="B58" i="14" s="1"/>
  <c r="B70" i="14" s="1"/>
  <c r="B82" i="14" s="1"/>
  <c r="B94" i="14" s="1"/>
  <c r="B106" i="14" s="1"/>
  <c r="B118" i="14" s="1"/>
  <c r="B130" i="14" s="1"/>
  <c r="B142" i="14" s="1"/>
  <c r="B154" i="14" s="1"/>
  <c r="B166" i="14" s="1"/>
  <c r="B178" i="14" s="1"/>
  <c r="B190" i="14" s="1"/>
  <c r="B202" i="14" s="1"/>
  <c r="B214" i="14" s="1"/>
  <c r="B226" i="14" s="1"/>
  <c r="B238" i="14" s="1"/>
  <c r="B250" i="14" s="1"/>
  <c r="B262" i="14" s="1"/>
  <c r="B274" i="14" s="1"/>
  <c r="B286" i="14" s="1"/>
  <c r="B298" i="14" s="1"/>
  <c r="B310" i="14" s="1"/>
  <c r="B322" i="14" s="1"/>
  <c r="B11" i="14"/>
  <c r="B23" i="14" l="1"/>
  <c r="B35" i="14" s="1"/>
  <c r="B47" i="14" s="1"/>
  <c r="B59" i="14" s="1"/>
  <c r="B71" i="14" s="1"/>
  <c r="B83" i="14" s="1"/>
  <c r="B95" i="14" s="1"/>
  <c r="B107" i="14" s="1"/>
  <c r="B119" i="14" s="1"/>
  <c r="B131" i="14" s="1"/>
  <c r="B143" i="14" s="1"/>
  <c r="B155" i="14" s="1"/>
  <c r="B167" i="14" s="1"/>
  <c r="B179" i="14" s="1"/>
  <c r="B191" i="14" s="1"/>
  <c r="B203" i="14" s="1"/>
  <c r="B215" i="14" s="1"/>
  <c r="B227" i="14" s="1"/>
  <c r="B239" i="14" s="1"/>
  <c r="B251" i="14" s="1"/>
  <c r="B263" i="14" s="1"/>
  <c r="B275" i="14" s="1"/>
  <c r="B287" i="14" s="1"/>
  <c r="B299" i="14" s="1"/>
  <c r="B311" i="14" s="1"/>
  <c r="B323" i="14" s="1"/>
  <c r="B12" i="14"/>
  <c r="B24" i="14" l="1"/>
  <c r="B36" i="14" s="1"/>
  <c r="B48" i="14" s="1"/>
  <c r="B60" i="14" s="1"/>
  <c r="B72" i="14" s="1"/>
  <c r="B84" i="14" s="1"/>
  <c r="B96" i="14" s="1"/>
  <c r="B108" i="14" s="1"/>
  <c r="B120" i="14" s="1"/>
  <c r="B132" i="14" s="1"/>
  <c r="B144" i="14" s="1"/>
  <c r="B156" i="14" s="1"/>
  <c r="B168" i="14" s="1"/>
  <c r="B180" i="14" s="1"/>
  <c r="B192" i="14" s="1"/>
  <c r="B204" i="14" s="1"/>
  <c r="B216" i="14" s="1"/>
  <c r="B228" i="14" s="1"/>
  <c r="B240" i="14" s="1"/>
  <c r="B252" i="14" s="1"/>
  <c r="B264" i="14" s="1"/>
  <c r="B276" i="14" s="1"/>
  <c r="B288" i="14" s="1"/>
  <c r="B300" i="14" s="1"/>
  <c r="B312" i="14" s="1"/>
  <c r="B324" i="14" s="1"/>
  <c r="B13" i="14"/>
  <c r="B25" i="14" l="1"/>
  <c r="B37" i="14" s="1"/>
  <c r="B49" i="14" s="1"/>
  <c r="B61" i="14" s="1"/>
  <c r="B73" i="14" s="1"/>
  <c r="B85" i="14" s="1"/>
  <c r="B97" i="14" s="1"/>
  <c r="B109" i="14" s="1"/>
  <c r="B121" i="14" s="1"/>
  <c r="B133" i="14" s="1"/>
  <c r="B145" i="14" s="1"/>
  <c r="B157" i="14" s="1"/>
  <c r="B169" i="14" s="1"/>
  <c r="B181" i="14" s="1"/>
  <c r="B193" i="14" s="1"/>
  <c r="B205" i="14" s="1"/>
  <c r="B217" i="14" s="1"/>
  <c r="B229" i="14" s="1"/>
  <c r="B241" i="14" s="1"/>
  <c r="B253" i="14" s="1"/>
  <c r="B265" i="14" s="1"/>
  <c r="B277" i="14" s="1"/>
  <c r="B289" i="14" s="1"/>
  <c r="B301" i="14" s="1"/>
  <c r="B313" i="14" s="1"/>
  <c r="B325" i="14" s="1"/>
  <c r="B14" i="14"/>
  <c r="B26" i="14" s="1"/>
  <c r="B38" i="14" s="1"/>
  <c r="B50" i="14" s="1"/>
  <c r="B62" i="14" s="1"/>
  <c r="B74" i="14" s="1"/>
  <c r="B86" i="14" s="1"/>
  <c r="B98" i="14" s="1"/>
  <c r="B110" i="14" s="1"/>
  <c r="B122" i="14" s="1"/>
  <c r="B134" i="14" s="1"/>
  <c r="B146" i="14" s="1"/>
  <c r="B158" i="14" s="1"/>
  <c r="B170" i="14" s="1"/>
  <c r="B182" i="14" s="1"/>
  <c r="B194" i="14" s="1"/>
  <c r="B206" i="14" s="1"/>
  <c r="B218" i="14" s="1"/>
  <c r="B230" i="14" s="1"/>
  <c r="B242" i="14" s="1"/>
  <c r="B254" i="14" s="1"/>
  <c r="B266" i="14" s="1"/>
  <c r="B278" i="14" s="1"/>
  <c r="B290" i="14" s="1"/>
  <c r="B302" i="14" s="1"/>
  <c r="B314" i="14" s="1"/>
  <c r="B326" i="14" s="1"/>
</calcChain>
</file>

<file path=xl/sharedStrings.xml><?xml version="1.0" encoding="utf-8"?>
<sst xmlns="http://schemas.openxmlformats.org/spreadsheetml/2006/main" count="508" uniqueCount="146">
  <si>
    <t xml:space="preserve">Хувьсагч </t>
  </si>
  <si>
    <t xml:space="preserve">Тайлбар </t>
  </si>
  <si>
    <t>Линк</t>
  </si>
  <si>
    <t>gdp</t>
  </si>
  <si>
    <t xml:space="preserve">ДНБ, үйлдвэрлэлийн аргаар, оны үнээр </t>
  </si>
  <si>
    <t xml:space="preserve">https://www.1212.mn/mn/statistic/statcate/573052/table-view/DT_NSO_0500_004V1 </t>
  </si>
  <si>
    <t>gdp_2005</t>
  </si>
  <si>
    <t>ДНБ, үйлдвэрлэлийн аргаар, 2005 оны үнээр</t>
  </si>
  <si>
    <t>https://www.1212.mn/mn/statistic/statcate/573052/table-view/DT_NSO_0500_004V1 .</t>
  </si>
  <si>
    <t>gdp_2010</t>
  </si>
  <si>
    <t>ДНБ, үйлдвэрлэлийн аргаар, 2010 оны үнээр</t>
  </si>
  <si>
    <t>gdp_2015</t>
  </si>
  <si>
    <t>ДНБ, үйлдвэрлэлийн аргаар, 2015 оны үнээр</t>
  </si>
  <si>
    <t>gdp_mine</t>
  </si>
  <si>
    <t>Уул уурхайн салбарын ДНБ, оны үнээр</t>
  </si>
  <si>
    <t>gdp_mine_2005</t>
  </si>
  <si>
    <t>Уул уурхайн салбарын ДНБ, 2005 оны үнээр</t>
  </si>
  <si>
    <t>gdp_mine_2010</t>
  </si>
  <si>
    <t>Уул уурхайн салбарын ДНБ, 2010 оны үнээр</t>
  </si>
  <si>
    <t>gdp_mine_2015</t>
  </si>
  <si>
    <t>Уул уурхайн салбарын ДНБ, 2015 оны үнээр</t>
  </si>
  <si>
    <t>employ</t>
  </si>
  <si>
    <t>Эдийн засагт нийт ажил эрхэлж байгаа хүний тоо</t>
  </si>
  <si>
    <t xml:space="preserve">https://www.1212.mn/mn/statistic/statcate/573055/table-view/DT_NSO_0400_035V7 </t>
  </si>
  <si>
    <t>cap_share</t>
  </si>
  <si>
    <t>Эдийн засгийн нийт капиталын нөөцийн ДНБ-д эзлэх хувь</t>
  </si>
  <si>
    <t xml:space="preserve">https://data.imf.org/?sk=1CE8A55F-CFA7-4BC0-BCE2-256EE65AC0E4 </t>
  </si>
  <si>
    <t>inv</t>
  </si>
  <si>
    <t>Хөрөнгийн нийт хуримтлал, ДНБ эцсийн ашиглалтын аргаар, оны үнээр</t>
  </si>
  <si>
    <t xml:space="preserve">https://www.1212.mn/mn/statistic/statcate/573052/table-view/DT_NSO_0500_003V1  </t>
  </si>
  <si>
    <t>inv_2005</t>
  </si>
  <si>
    <t>Хөрөнгийн нийт хуримтлал, ДНБ эцсийн ашиглалтын аргаар, 2005 оны үнээр</t>
  </si>
  <si>
    <t>https://www.1212.mn/mn/statistic/statcate/573052/table-view/DT_NSO_0500_003V1</t>
  </si>
  <si>
    <t>inv_2010</t>
  </si>
  <si>
    <t>Хөрөнгийн нийт хуримтлал, ДНБ эцсийн ашиглалтын аргаар, 2010 оны үнээр</t>
  </si>
  <si>
    <t xml:space="preserve">https://www.1212.mn/mn/statistic/statcate/573052/table-view/DT_NSO_0500_003V1 </t>
  </si>
  <si>
    <t>inv_2015</t>
  </si>
  <si>
    <t>Хөрөнгийн нийт хуримтлал, ДНБ эцсийн ашиглалтын аргаар, 2015 оны үнээр</t>
  </si>
  <si>
    <t>gap</t>
  </si>
  <si>
    <t>y</t>
  </si>
  <si>
    <t>g_y</t>
  </si>
  <si>
    <t>Real GDP</t>
  </si>
  <si>
    <t>TFP</t>
  </si>
  <si>
    <t>HP</t>
  </si>
  <si>
    <t>Kalman</t>
  </si>
  <si>
    <t>PF</t>
  </si>
  <si>
    <t>Output gap</t>
  </si>
  <si>
    <t/>
  </si>
  <si>
    <t>PR</t>
  </si>
  <si>
    <t>BN</t>
  </si>
  <si>
    <t>BP</t>
  </si>
  <si>
    <t>Expansion</t>
  </si>
  <si>
    <t>Contraction</t>
  </si>
  <si>
    <t>Taylor</t>
  </si>
  <si>
    <t>National</t>
  </si>
  <si>
    <t>UB</t>
  </si>
  <si>
    <t>Core</t>
  </si>
  <si>
    <t>Core inflation</t>
  </si>
  <si>
    <t>Production function</t>
  </si>
  <si>
    <t>Monthly activity indicator</t>
  </si>
  <si>
    <t>MAI</t>
  </si>
  <si>
    <t>Crisis</t>
  </si>
  <si>
    <t>Average</t>
  </si>
  <si>
    <t>Nowcast</t>
  </si>
  <si>
    <t>Actual</t>
  </si>
  <si>
    <t>BVAR</t>
  </si>
  <si>
    <t>DFM</t>
  </si>
  <si>
    <t>Neutral exchange rate</t>
  </si>
  <si>
    <t>REER</t>
  </si>
  <si>
    <t>NER</t>
  </si>
  <si>
    <t>NIR</t>
  </si>
  <si>
    <t>Neutral interest rate</t>
  </si>
  <si>
    <t>New orders</t>
  </si>
  <si>
    <t>Output</t>
  </si>
  <si>
    <t>Employment</t>
  </si>
  <si>
    <t>Suppliers' delivery times</t>
  </si>
  <si>
    <t>Stocks of Purchases</t>
  </si>
  <si>
    <t>Manufacturing</t>
  </si>
  <si>
    <t>Construction</t>
  </si>
  <si>
    <t>Retail</t>
  </si>
  <si>
    <t>Service</t>
  </si>
  <si>
    <t>General</t>
  </si>
  <si>
    <t>Economic Sentiment Index</t>
  </si>
  <si>
    <t>Employment Expectation Index</t>
  </si>
  <si>
    <t>Economic Uncertainty Index</t>
  </si>
  <si>
    <t>Individuals</t>
  </si>
  <si>
    <t>Firms</t>
  </si>
  <si>
    <t>Experts</t>
  </si>
  <si>
    <t>Bank Lending Survey</t>
  </si>
  <si>
    <t>Credit Standart for Household (next quarter)</t>
  </si>
  <si>
    <t>Credit Standart for Corporate (next quarter)</t>
  </si>
  <si>
    <t>Real GDP (2015)</t>
  </si>
  <si>
    <t>Real GDP Growth, YoY (r.a)</t>
  </si>
  <si>
    <t>Economic Indicators</t>
  </si>
  <si>
    <t>UB Inflation</t>
  </si>
  <si>
    <t>PMI</t>
  </si>
  <si>
    <t>Monthly</t>
  </si>
  <si>
    <t>Quarterly</t>
  </si>
  <si>
    <t>Bank lending survey</t>
  </si>
  <si>
    <t>Name</t>
  </si>
  <si>
    <t>Start date</t>
  </si>
  <si>
    <t>2003M2</t>
  </si>
  <si>
    <t>2007M1</t>
  </si>
  <si>
    <t>2008M1</t>
  </si>
  <si>
    <t>2000Q1</t>
  </si>
  <si>
    <t>2021Q1</t>
  </si>
  <si>
    <t>2022Q1</t>
  </si>
  <si>
    <t>2017Q1</t>
  </si>
  <si>
    <t>2018Q1</t>
  </si>
  <si>
    <t>Frequency</t>
  </si>
  <si>
    <t>Survey</t>
  </si>
  <si>
    <t>ECPI</t>
  </si>
  <si>
    <t>Ninjin</t>
  </si>
  <si>
    <t>Khosbayar</t>
  </si>
  <si>
    <t>Bat-Orgil</t>
  </si>
  <si>
    <t>Source</t>
  </si>
  <si>
    <t>Responsible</t>
  </si>
  <si>
    <t>Tserendavaa</t>
  </si>
  <si>
    <t>Myadag</t>
  </si>
  <si>
    <t>Online</t>
  </si>
  <si>
    <t>Economic Indicators - Economic Sentiment Index</t>
  </si>
  <si>
    <t>Economic Indicators - Employment Expectation Index</t>
  </si>
  <si>
    <t>Economic Indicators - Economic Uncertainty Index</t>
  </si>
  <si>
    <t>Inflation Expectation - Next quarter</t>
  </si>
  <si>
    <t>Inflation expectation - Next quarter</t>
  </si>
  <si>
    <t>GDP</t>
  </si>
  <si>
    <t>Mining GDP</t>
  </si>
  <si>
    <t>Current</t>
  </si>
  <si>
    <t>Investment</t>
  </si>
  <si>
    <t>DATA</t>
  </si>
  <si>
    <t>ESTIMATION</t>
  </si>
  <si>
    <t>gap_mining</t>
  </si>
  <si>
    <t>gap_non mining</t>
  </si>
  <si>
    <t>y_mining</t>
  </si>
  <si>
    <t>y_non mining</t>
  </si>
  <si>
    <t>g_y_mining</t>
  </si>
  <si>
    <t>g_y_non mining</t>
  </si>
  <si>
    <t>growth</t>
  </si>
  <si>
    <t>labor</t>
  </si>
  <si>
    <t>capital</t>
  </si>
  <si>
    <t>2025Q4</t>
  </si>
  <si>
    <t>2022M1</t>
  </si>
  <si>
    <t>Inflation forecast</t>
  </si>
  <si>
    <t>Method 1</t>
  </si>
  <si>
    <t>Method 2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</si>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</sst>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%"/>
    <numFmt numFmtId="167" formatCode="0.0"/>
    <numFmt numFmtId="169" formatCode="#,##0.0"/>
    <numFmt numFmtId="170" formatCode="_(* #,##0.0_);_(* \(#,##0.0\);_(* &quot;-&quot;??_);_(@_)"/>
    <numFmt numFmtId="171" formatCode="_(* #,##0_);_(* \(#,##0\);_(* &quot;-&quot;??_);_(@_)"/>
  </numFmts>
  <fonts count="17" x14ac:knownFonts="1"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u/>
      <sz val="10"/>
      <color theme="10"/>
      <name val="Times New Roman"/>
      <family val="1"/>
    </font>
    <font>
      <sz val="10"/>
      <color rgb="FF333333"/>
      <name val="Times New Roman"/>
      <family val="1"/>
    </font>
    <font>
      <b/>
      <sz val="10"/>
      <color theme="0"/>
      <name val="Times New Roman"/>
      <family val="1"/>
    </font>
    <font>
      <sz val="10"/>
      <color rgb="FF0070C0"/>
      <name val="Times New Roman"/>
      <family val="2"/>
    </font>
    <font>
      <sz val="10"/>
      <name val="Times New Roman"/>
      <family val="2"/>
    </font>
    <font>
      <sz val="10"/>
      <color rgb="FFFF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</fills>
  <borders count="7">
    <border>
      <left/>
      <right/>
      <top/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" fillId="0" borderId="0" applyBorder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9">
    <xf numFmtId="0" fontId="0" fillId="0" borderId="0" xfId="0"/>
    <xf numFmtId="0" fontId="0" fillId="4" borderId="0" xfId="0" applyFill="1"/>
    <xf numFmtId="0" fontId="0" fillId="5" borderId="0" xfId="0" applyFill="1"/>
    <xf numFmtId="167" fontId="5" fillId="0" borderId="0" xfId="0" applyNumberFormat="1" applyFont="1"/>
    <xf numFmtId="165" fontId="0" fillId="0" borderId="0" xfId="1" applyNumberFormat="1" applyFont="1" applyBorder="1"/>
    <xf numFmtId="4" fontId="0" fillId="0" borderId="0" xfId="0" applyNumberFormat="1"/>
    <xf numFmtId="169" fontId="5" fillId="0" borderId="0" xfId="0" applyNumberFormat="1" applyFont="1"/>
    <xf numFmtId="0" fontId="0" fillId="0" borderId="1" xfId="0" applyBorder="1"/>
    <xf numFmtId="0" fontId="0" fillId="0" borderId="2" xfId="0" applyBorder="1"/>
    <xf numFmtId="165" fontId="0" fillId="0" borderId="1" xfId="1" applyNumberFormat="1" applyFont="1" applyBorder="1"/>
    <xf numFmtId="167" fontId="5" fillId="0" borderId="1" xfId="0" applyNumberFormat="1" applyFont="1" applyBorder="1"/>
    <xf numFmtId="4" fontId="0" fillId="0" borderId="2" xfId="0" applyNumberFormat="1" applyBorder="1"/>
    <xf numFmtId="0" fontId="5" fillId="0" borderId="1" xfId="0" applyFont="1" applyBorder="1"/>
    <xf numFmtId="9" fontId="0" fillId="0" borderId="1" xfId="6" applyFont="1" applyBorder="1"/>
    <xf numFmtId="165" fontId="0" fillId="0" borderId="0" xfId="6" applyNumberFormat="1" applyFont="1" applyBorder="1"/>
    <xf numFmtId="165" fontId="0" fillId="0" borderId="2" xfId="6" applyNumberFormat="1" applyFont="1" applyBorder="1"/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0" fillId="0" borderId="1" xfId="0" applyNumberFormat="1" applyBorder="1"/>
    <xf numFmtId="0" fontId="8" fillId="0" borderId="0" xfId="4" applyFont="1" applyBorder="1"/>
    <xf numFmtId="165" fontId="0" fillId="0" borderId="2" xfId="1" applyNumberFormat="1" applyFont="1" applyBorder="1"/>
    <xf numFmtId="165" fontId="0" fillId="0" borderId="0" xfId="1" applyNumberFormat="1" applyFont="1"/>
    <xf numFmtId="0" fontId="0" fillId="5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1" fontId="0" fillId="0" borderId="0" xfId="7" applyNumberFormat="1" applyFont="1"/>
    <xf numFmtId="170" fontId="0" fillId="0" borderId="1" xfId="7" applyNumberFormat="1" applyFont="1" applyBorder="1"/>
    <xf numFmtId="170" fontId="0" fillId="0" borderId="0" xfId="7" applyNumberFormat="1" applyFont="1" applyBorder="1"/>
    <xf numFmtId="170" fontId="0" fillId="0" borderId="2" xfId="7" applyNumberFormat="1" applyFont="1" applyBorder="1"/>
    <xf numFmtId="164" fontId="0" fillId="0" borderId="1" xfId="7" applyFont="1" applyBorder="1"/>
    <xf numFmtId="164" fontId="0" fillId="0" borderId="2" xfId="7" applyFont="1" applyBorder="1"/>
    <xf numFmtId="0" fontId="13" fillId="8" borderId="0" xfId="0" applyFont="1" applyFill="1" applyAlignment="1">
      <alignment horizontal="center" vertical="center"/>
    </xf>
    <xf numFmtId="0" fontId="14" fillId="0" borderId="0" xfId="0" applyFont="1"/>
    <xf numFmtId="0" fontId="13" fillId="5" borderId="0" xfId="0" applyFont="1" applyFill="1" applyAlignment="1">
      <alignment horizontal="center" vertical="center"/>
    </xf>
    <xf numFmtId="0" fontId="6" fillId="5" borderId="0" xfId="0" applyFont="1" applyFill="1"/>
    <xf numFmtId="0" fontId="15" fillId="0" borderId="0" xfId="0" applyFont="1"/>
    <xf numFmtId="0" fontId="0" fillId="0" borderId="0" xfId="0" applyBorder="1"/>
    <xf numFmtId="0" fontId="7" fillId="0" borderId="0" xfId="0" applyFont="1" applyBorder="1"/>
    <xf numFmtId="0" fontId="13" fillId="10" borderId="1" xfId="0" applyFont="1" applyFill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13" fillId="10" borderId="0" xfId="0" applyFont="1" applyFill="1"/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6" fillId="4" borderId="0" xfId="0" applyFont="1" applyFill="1"/>
    <xf numFmtId="0" fontId="6" fillId="0" borderId="0" xfId="0" applyFont="1"/>
    <xf numFmtId="169" fontId="8" fillId="0" borderId="0" xfId="4" applyNumberFormat="1" applyFont="1" applyBorder="1"/>
    <xf numFmtId="169" fontId="8" fillId="0" borderId="1" xfId="4" applyNumberFormat="1" applyFont="1" applyBorder="1"/>
    <xf numFmtId="169" fontId="8" fillId="0" borderId="2" xfId="4" applyNumberFormat="1" applyFont="1" applyBorder="1"/>
    <xf numFmtId="169" fontId="8" fillId="0" borderId="6" xfId="4" applyNumberFormat="1" applyFont="1" applyBorder="1" applyAlignment="1">
      <alignment horizontal="right"/>
    </xf>
    <xf numFmtId="169" fontId="8" fillId="0" borderId="6" xfId="4" applyNumberFormat="1" applyFont="1" applyBorder="1"/>
    <xf numFmtId="169" fontId="8" fillId="0" borderId="6" xfId="4" applyNumberFormat="1" applyFont="1" applyBorder="1" applyAlignment="1">
      <alignment horizontal="right" wrapText="1"/>
    </xf>
    <xf numFmtId="9" fontId="7" fillId="0" borderId="1" xfId="6" applyFont="1" applyBorder="1"/>
    <xf numFmtId="9" fontId="7" fillId="0" borderId="0" xfId="6" applyFont="1" applyBorder="1"/>
    <xf numFmtId="0" fontId="8" fillId="0" borderId="2" xfId="4" applyFont="1" applyBorder="1"/>
    <xf numFmtId="165" fontId="7" fillId="0" borderId="0" xfId="6" applyNumberFormat="1" applyFont="1" applyBorder="1"/>
    <xf numFmtId="165" fontId="7" fillId="0" borderId="2" xfId="6" applyNumberFormat="1" applyFont="1" applyBorder="1"/>
    <xf numFmtId="165" fontId="7" fillId="0" borderId="1" xfId="6" applyNumberFormat="1" applyFont="1" applyBorder="1"/>
    <xf numFmtId="167" fontId="8" fillId="0" borderId="0" xfId="4" applyNumberFormat="1" applyFont="1" applyBorder="1"/>
    <xf numFmtId="0" fontId="5" fillId="7" borderId="1" xfId="4" applyFont="1" applyFill="1" applyBorder="1" applyAlignment="1">
      <alignment horizontal="center" vertical="center" wrapText="1"/>
    </xf>
    <xf numFmtId="0" fontId="5" fillId="7" borderId="0" xfId="4" applyFont="1" applyFill="1" applyBorder="1" applyAlignment="1">
      <alignment horizontal="center" vertical="center" wrapText="1"/>
    </xf>
    <xf numFmtId="0" fontId="5" fillId="7" borderId="2" xfId="4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 wrapText="1"/>
    </xf>
    <xf numFmtId="0" fontId="5" fillId="11" borderId="1" xfId="4" applyFont="1" applyFill="1" applyBorder="1" applyAlignment="1">
      <alignment horizontal="center"/>
    </xf>
    <xf numFmtId="0" fontId="5" fillId="11" borderId="0" xfId="4" applyFont="1" applyFill="1" applyBorder="1" applyAlignment="1">
      <alignment horizontal="center"/>
    </xf>
    <xf numFmtId="0" fontId="5" fillId="11" borderId="2" xfId="4" applyFont="1" applyFill="1" applyBorder="1" applyAlignment="1">
      <alignment horizontal="center"/>
    </xf>
    <xf numFmtId="0" fontId="5" fillId="11" borderId="6" xfId="4" applyFont="1" applyFill="1" applyBorder="1" applyAlignment="1">
      <alignment horizontal="center"/>
    </xf>
    <xf numFmtId="0" fontId="13" fillId="0" borderId="0" xfId="4" applyFont="1" applyFill="1" applyBorder="1"/>
    <xf numFmtId="0" fontId="5" fillId="0" borderId="0" xfId="4" applyFont="1" applyFill="1" applyBorder="1"/>
    <xf numFmtId="0" fontId="5" fillId="0" borderId="0" xfId="4" applyFont="1" applyFill="1" applyBorder="1" applyAlignment="1">
      <alignment horizontal="left" wrapText="1"/>
    </xf>
    <xf numFmtId="0" fontId="5" fillId="0" borderId="0" xfId="4" applyFont="1" applyFill="1" applyBorder="1" applyAlignment="1">
      <alignment horizontal="center" vertical="center" wrapText="1"/>
    </xf>
    <xf numFmtId="0" fontId="5" fillId="12" borderId="1" xfId="4" applyFont="1" applyFill="1" applyBorder="1" applyAlignment="1">
      <alignment horizontal="center"/>
    </xf>
    <xf numFmtId="0" fontId="5" fillId="12" borderId="0" xfId="4" applyFont="1" applyFill="1" applyBorder="1" applyAlignment="1">
      <alignment horizontal="center"/>
    </xf>
    <xf numFmtId="0" fontId="5" fillId="12" borderId="2" xfId="4" applyFont="1" applyFill="1" applyBorder="1" applyAlignment="1">
      <alignment horizontal="center"/>
    </xf>
    <xf numFmtId="0" fontId="8" fillId="13" borderId="1" xfId="4" applyFont="1" applyFill="1" applyBorder="1" applyAlignment="1">
      <alignment horizontal="center" vertical="center" wrapText="1"/>
    </xf>
    <xf numFmtId="0" fontId="8" fillId="13" borderId="0" xfId="4" applyFont="1" applyFill="1" applyBorder="1" applyAlignment="1">
      <alignment horizontal="center" vertical="center" wrapText="1"/>
    </xf>
    <xf numFmtId="0" fontId="8" fillId="13" borderId="2" xfId="4" applyFont="1" applyFill="1" applyBorder="1" applyAlignment="1">
      <alignment horizontal="center" vertical="center" wrapText="1"/>
    </xf>
    <xf numFmtId="169" fontId="13" fillId="0" borderId="0" xfId="4" applyNumberFormat="1" applyFont="1" applyFill="1" applyBorder="1"/>
    <xf numFmtId="169" fontId="9" fillId="0" borderId="0" xfId="4" applyNumberFormat="1" applyFont="1" applyFill="1" applyBorder="1" applyAlignment="1">
      <alignment horizontal="center" wrapText="1"/>
    </xf>
    <xf numFmtId="169" fontId="8" fillId="0" borderId="0" xfId="4" applyNumberFormat="1" applyFont="1" applyFill="1" applyBorder="1"/>
    <xf numFmtId="169" fontId="8" fillId="0" borderId="0" xfId="4" applyNumberFormat="1" applyFont="1" applyFill="1" applyBorder="1" applyAlignment="1">
      <alignment horizontal="right"/>
    </xf>
    <xf numFmtId="0" fontId="8" fillId="2" borderId="0" xfId="4" applyFont="1" applyFill="1" applyBorder="1"/>
    <xf numFmtId="0" fontId="8" fillId="2" borderId="0" xfId="4" applyFont="1" applyFill="1" applyBorder="1" applyAlignment="1">
      <alignment horizontal="left"/>
    </xf>
    <xf numFmtId="0" fontId="11" fillId="2" borderId="0" xfId="5" applyFont="1" applyFill="1" applyBorder="1" applyAlignment="1"/>
    <xf numFmtId="0" fontId="11" fillId="2" borderId="0" xfId="5" applyFont="1" applyFill="1" applyBorder="1" applyAlignment="1">
      <alignment horizontal="left"/>
    </xf>
    <xf numFmtId="0" fontId="10" fillId="0" borderId="0" xfId="4" applyFont="1" applyFill="1" applyBorder="1" applyAlignment="1">
      <alignment horizontal="center" vertical="center"/>
    </xf>
    <xf numFmtId="169" fontId="13" fillId="10" borderId="1" xfId="4" applyNumberFormat="1" applyFont="1" applyFill="1" applyBorder="1" applyAlignment="1"/>
    <xf numFmtId="169" fontId="13" fillId="10" borderId="0" xfId="4" applyNumberFormat="1" applyFont="1" applyFill="1" applyBorder="1" applyAlignment="1"/>
    <xf numFmtId="169" fontId="13" fillId="10" borderId="2" xfId="4" applyNumberFormat="1" applyFont="1" applyFill="1" applyBorder="1" applyAlignment="1"/>
    <xf numFmtId="169" fontId="13" fillId="14" borderId="1" xfId="4" applyNumberFormat="1" applyFont="1" applyFill="1" applyBorder="1" applyAlignment="1"/>
    <xf numFmtId="169" fontId="13" fillId="14" borderId="0" xfId="4" applyNumberFormat="1" applyFont="1" applyFill="1" applyBorder="1" applyAlignment="1"/>
    <xf numFmtId="169" fontId="13" fillId="14" borderId="2" xfId="4" applyNumberFormat="1" applyFont="1" applyFill="1" applyBorder="1" applyAlignment="1"/>
    <xf numFmtId="3" fontId="8" fillId="0" borderId="1" xfId="4" applyNumberFormat="1" applyFont="1" applyBorder="1" applyAlignment="1">
      <alignment horizontal="right"/>
    </xf>
    <xf numFmtId="3" fontId="8" fillId="0" borderId="0" xfId="4" applyNumberFormat="1" applyFont="1" applyBorder="1" applyAlignment="1">
      <alignment horizontal="right"/>
    </xf>
    <xf numFmtId="3" fontId="8" fillId="0" borderId="2" xfId="4" applyNumberFormat="1" applyFont="1" applyBorder="1" applyAlignment="1">
      <alignment horizontal="right"/>
    </xf>
    <xf numFmtId="3" fontId="9" fillId="0" borderId="0" xfId="4" applyNumberFormat="1" applyFont="1" applyBorder="1" applyAlignment="1">
      <alignment horizontal="center" wrapText="1"/>
    </xf>
    <xf numFmtId="3" fontId="8" fillId="0" borderId="1" xfId="4" applyNumberFormat="1" applyFont="1" applyBorder="1"/>
    <xf numFmtId="3" fontId="8" fillId="0" borderId="0" xfId="4" applyNumberFormat="1" applyFont="1" applyBorder="1"/>
    <xf numFmtId="3" fontId="8" fillId="0" borderId="0" xfId="4" applyNumberFormat="1" applyFont="1" applyBorder="1" applyAlignment="1">
      <alignment horizontal="right" wrapText="1"/>
    </xf>
    <xf numFmtId="3" fontId="9" fillId="0" borderId="2" xfId="4" applyNumberFormat="1" applyFont="1" applyBorder="1" applyAlignment="1">
      <alignment horizontal="center" wrapText="1"/>
    </xf>
    <xf numFmtId="3" fontId="12" fillId="0" borderId="6" xfId="4" applyNumberFormat="1" applyFont="1" applyBorder="1"/>
    <xf numFmtId="3" fontId="8" fillId="0" borderId="2" xfId="4" applyNumberFormat="1" applyFont="1" applyBorder="1"/>
    <xf numFmtId="3" fontId="8" fillId="0" borderId="1" xfId="4" applyNumberFormat="1" applyFont="1" applyBorder="1" applyAlignment="1">
      <alignment horizontal="right" wrapText="1"/>
    </xf>
    <xf numFmtId="3" fontId="12" fillId="3" borderId="6" xfId="4" applyNumberFormat="1" applyFont="1" applyFill="1" applyBorder="1" applyAlignment="1">
      <alignment horizontal="right" vertical="top" wrapText="1"/>
    </xf>
    <xf numFmtId="3" fontId="8" fillId="0" borderId="6" xfId="4" applyNumberFormat="1" applyFont="1" applyBorder="1" applyAlignment="1">
      <alignment horizontal="right"/>
    </xf>
    <xf numFmtId="3" fontId="8" fillId="0" borderId="6" xfId="4" applyNumberFormat="1" applyFont="1" applyBorder="1"/>
    <xf numFmtId="0" fontId="8" fillId="2" borderId="0" xfId="4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13" fillId="9" borderId="1" xfId="1" applyNumberFormat="1" applyFont="1" applyFill="1" applyBorder="1" applyAlignment="1">
      <alignment horizontal="center" vertical="center"/>
    </xf>
    <xf numFmtId="165" fontId="13" fillId="9" borderId="0" xfId="1" applyNumberFormat="1" applyFont="1" applyFill="1" applyBorder="1" applyAlignment="1">
      <alignment horizontal="center" vertical="center"/>
    </xf>
    <xf numFmtId="165" fontId="13" fillId="9" borderId="2" xfId="1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0" xfId="4" applyFont="1" applyFill="1" applyBorder="1"/>
    <xf numFmtId="0" fontId="8" fillId="0" borderId="0" xfId="4" applyFont="1" applyFill="1" applyBorder="1" applyAlignment="1">
      <alignment horizontal="left"/>
    </xf>
    <xf numFmtId="0" fontId="11" fillId="0" borderId="0" xfId="5" applyFont="1" applyFill="1" applyBorder="1" applyAlignment="1"/>
    <xf numFmtId="0" fontId="10" fillId="6" borderId="0" xfId="4" applyFont="1" applyFill="1" applyBorder="1" applyAlignment="1">
      <alignment horizontal="center" vertical="center"/>
    </xf>
    <xf numFmtId="0" fontId="5" fillId="6" borderId="0" xfId="4" applyFont="1" applyFill="1" applyBorder="1" applyAlignment="1">
      <alignment horizontal="center" vertical="center" wrapText="1"/>
    </xf>
    <xf numFmtId="0" fontId="5" fillId="6" borderId="0" xfId="4" applyFont="1" applyFill="1" applyBorder="1" applyAlignment="1">
      <alignment horizontal="center" vertical="center"/>
    </xf>
    <xf numFmtId="0" fontId="13" fillId="0" borderId="0" xfId="4" applyFont="1" applyFill="1" applyBorder="1" applyAlignment="1">
      <alignment horizontal="left" wrapText="1"/>
    </xf>
    <xf numFmtId="0" fontId="13" fillId="9" borderId="0" xfId="4" applyFont="1" applyFill="1" applyBorder="1"/>
  </cellXfs>
  <cellStyles count="8">
    <cellStyle name="Comma" xfId="7" builtinId="3"/>
    <cellStyle name="Hyperlink 2" xfId="5" xr:uid="{E9C91B4E-D9D9-47E5-8BDD-BB1BBD731EFA}"/>
    <cellStyle name="Normal" xfId="0" builtinId="0"/>
    <cellStyle name="Normal 2" xfId="2" xr:uid="{6B9D91BA-AA09-432E-9D41-CB4035E6EA4D}"/>
    <cellStyle name="Normal 3" xfId="4" xr:uid="{9950AFA4-8051-48CE-961D-3888F7B3E30D}"/>
    <cellStyle name="Percent" xfId="1" builtinId="5"/>
    <cellStyle name="Percent 2" xfId="3" xr:uid="{87006BA1-2A1E-48B5-ADBE-04671927D8D4}"/>
    <cellStyle name="Percent 3" xfId="6" xr:uid="{862E9771-6483-419E-A024-DAFAB47298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Neutral interest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6"/>
          <c:tx>
            <c:strRef>
              <c:f>Month!$S$2</c:f>
              <c:strCache>
                <c:ptCount val="1"/>
                <c:pt idx="0">
                  <c:v>Expansion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Month!$S$3:$S$314</c:f>
              <c:numCache>
                <c:formatCode>0.0%</c:formatCode>
                <c:ptCount val="312"/>
                <c:pt idx="97">
                  <c:v>0.16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0.16</c:v>
                </c:pt>
                <c:pt idx="121">
                  <c:v>0.16</c:v>
                </c:pt>
                <c:pt idx="122">
                  <c:v>0.16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0.16</c:v>
                </c:pt>
                <c:pt idx="162">
                  <c:v>0.16</c:v>
                </c:pt>
                <c:pt idx="163">
                  <c:v>0.16</c:v>
                </c:pt>
                <c:pt idx="164">
                  <c:v>0.16</c:v>
                </c:pt>
                <c:pt idx="165">
                  <c:v>0.16</c:v>
                </c:pt>
                <c:pt idx="166">
                  <c:v>0.16</c:v>
                </c:pt>
                <c:pt idx="167">
                  <c:v>0.16</c:v>
                </c:pt>
                <c:pt idx="168">
                  <c:v>0.16</c:v>
                </c:pt>
                <c:pt idx="169">
                  <c:v>0.16</c:v>
                </c:pt>
                <c:pt idx="170">
                  <c:v>0.16</c:v>
                </c:pt>
                <c:pt idx="171">
                  <c:v>0.16</c:v>
                </c:pt>
                <c:pt idx="172">
                  <c:v>0.16</c:v>
                </c:pt>
                <c:pt idx="173">
                  <c:v>0.16</c:v>
                </c:pt>
                <c:pt idx="174">
                  <c:v>0.16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0.16</c:v>
                </c:pt>
                <c:pt idx="249">
                  <c:v>0.16</c:v>
                </c:pt>
                <c:pt idx="250">
                  <c:v>0.16</c:v>
                </c:pt>
                <c:pt idx="251">
                  <c:v>0.16</c:v>
                </c:pt>
                <c:pt idx="252">
                  <c:v>0.16</c:v>
                </c:pt>
                <c:pt idx="253">
                  <c:v>0.16</c:v>
                </c:pt>
                <c:pt idx="254">
                  <c:v>0.16</c:v>
                </c:pt>
                <c:pt idx="255">
                  <c:v>0.16</c:v>
                </c:pt>
                <c:pt idx="256">
                  <c:v>0.16</c:v>
                </c:pt>
                <c:pt idx="257">
                  <c:v>0.16</c:v>
                </c:pt>
                <c:pt idx="258">
                  <c:v>0.16</c:v>
                </c:pt>
                <c:pt idx="259">
                  <c:v>0.16</c:v>
                </c:pt>
                <c:pt idx="260">
                  <c:v>0.16</c:v>
                </c:pt>
                <c:pt idx="261">
                  <c:v>0.16</c:v>
                </c:pt>
                <c:pt idx="262">
                  <c:v>0.16</c:v>
                </c:pt>
                <c:pt idx="263">
                  <c:v>0.16</c:v>
                </c:pt>
                <c:pt idx="264">
                  <c:v>0.16</c:v>
                </c:pt>
                <c:pt idx="265">
                  <c:v>0.16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0.16</c:v>
                </c:pt>
                <c:pt idx="297">
                  <c:v>0.16</c:v>
                </c:pt>
                <c:pt idx="298">
                  <c:v>0.16</c:v>
                </c:pt>
                <c:pt idx="299">
                  <c:v>0.16</c:v>
                </c:pt>
                <c:pt idx="300">
                  <c:v>0.16</c:v>
                </c:pt>
                <c:pt idx="301">
                  <c:v>0.16</c:v>
                </c:pt>
                <c:pt idx="3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92-4652-AD95-8DA5069F7F8B}"/>
            </c:ext>
          </c:extLst>
        </c:ser>
        <c:ser>
          <c:idx val="7"/>
          <c:order val="7"/>
          <c:tx>
            <c:strRef>
              <c:f>Month!$T$2</c:f>
              <c:strCache>
                <c:ptCount val="1"/>
                <c:pt idx="0">
                  <c:v>Contraction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Month!$T$3:$T$314</c:f>
              <c:numCache>
                <c:formatCode>0.0%</c:formatCode>
                <c:ptCount val="312"/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0.16</c:v>
                </c:pt>
                <c:pt idx="111">
                  <c:v>0.16</c:v>
                </c:pt>
                <c:pt idx="112">
                  <c:v>0.16</c:v>
                </c:pt>
                <c:pt idx="113">
                  <c:v>0.16</c:v>
                </c:pt>
                <c:pt idx="114">
                  <c:v>0.16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0.16</c:v>
                </c:pt>
                <c:pt idx="147">
                  <c:v>0.16</c:v>
                </c:pt>
                <c:pt idx="148">
                  <c:v>0.16</c:v>
                </c:pt>
                <c:pt idx="149">
                  <c:v>0.16</c:v>
                </c:pt>
                <c:pt idx="150">
                  <c:v>0.16</c:v>
                </c:pt>
                <c:pt idx="151">
                  <c:v>0.16</c:v>
                </c:pt>
                <c:pt idx="152">
                  <c:v>0.16</c:v>
                </c:pt>
                <c:pt idx="153">
                  <c:v>0.16</c:v>
                </c:pt>
                <c:pt idx="154">
                  <c:v>0.16</c:v>
                </c:pt>
                <c:pt idx="155">
                  <c:v>0.16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0.16</c:v>
                </c:pt>
                <c:pt idx="200">
                  <c:v>0.16</c:v>
                </c:pt>
                <c:pt idx="201">
                  <c:v>0.16</c:v>
                </c:pt>
                <c:pt idx="202">
                  <c:v>0.16</c:v>
                </c:pt>
                <c:pt idx="203">
                  <c:v>0.16</c:v>
                </c:pt>
                <c:pt idx="204">
                  <c:v>0.16</c:v>
                </c:pt>
                <c:pt idx="205">
                  <c:v>0.16</c:v>
                </c:pt>
                <c:pt idx="206">
                  <c:v>0.16</c:v>
                </c:pt>
                <c:pt idx="207">
                  <c:v>0.16</c:v>
                </c:pt>
                <c:pt idx="208">
                  <c:v>0.16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0.16</c:v>
                </c:pt>
                <c:pt idx="227">
                  <c:v>0.16</c:v>
                </c:pt>
                <c:pt idx="228">
                  <c:v>0.16</c:v>
                </c:pt>
                <c:pt idx="229">
                  <c:v>0.16</c:v>
                </c:pt>
                <c:pt idx="230">
                  <c:v>0</c:v>
                </c:pt>
                <c:pt idx="231">
                  <c:v>0.16</c:v>
                </c:pt>
                <c:pt idx="232">
                  <c:v>0.16</c:v>
                </c:pt>
                <c:pt idx="233">
                  <c:v>0.16</c:v>
                </c:pt>
                <c:pt idx="234">
                  <c:v>0.16</c:v>
                </c:pt>
                <c:pt idx="235">
                  <c:v>0.16</c:v>
                </c:pt>
                <c:pt idx="236">
                  <c:v>0.16</c:v>
                </c:pt>
                <c:pt idx="237">
                  <c:v>0.16</c:v>
                </c:pt>
                <c:pt idx="238">
                  <c:v>0.16</c:v>
                </c:pt>
                <c:pt idx="239">
                  <c:v>0.16</c:v>
                </c:pt>
                <c:pt idx="240">
                  <c:v>0.16</c:v>
                </c:pt>
                <c:pt idx="241">
                  <c:v>0.16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0.16</c:v>
                </c:pt>
                <c:pt idx="273">
                  <c:v>0.16</c:v>
                </c:pt>
                <c:pt idx="274">
                  <c:v>0.16</c:v>
                </c:pt>
                <c:pt idx="275">
                  <c:v>0.16</c:v>
                </c:pt>
                <c:pt idx="276">
                  <c:v>0.16</c:v>
                </c:pt>
                <c:pt idx="277">
                  <c:v>0.16</c:v>
                </c:pt>
                <c:pt idx="278">
                  <c:v>0.16</c:v>
                </c:pt>
                <c:pt idx="279">
                  <c:v>0.16</c:v>
                </c:pt>
                <c:pt idx="280">
                  <c:v>0.16</c:v>
                </c:pt>
                <c:pt idx="281">
                  <c:v>0.16</c:v>
                </c:pt>
                <c:pt idx="282">
                  <c:v>0.16</c:v>
                </c:pt>
                <c:pt idx="283">
                  <c:v>0.16</c:v>
                </c:pt>
                <c:pt idx="284">
                  <c:v>0.16</c:v>
                </c:pt>
                <c:pt idx="285">
                  <c:v>0.16</c:v>
                </c:pt>
                <c:pt idx="286">
                  <c:v>0.16</c:v>
                </c:pt>
                <c:pt idx="287">
                  <c:v>0.16</c:v>
                </c:pt>
                <c:pt idx="288">
                  <c:v>0.16</c:v>
                </c:pt>
                <c:pt idx="289">
                  <c:v>0.16</c:v>
                </c:pt>
                <c:pt idx="290">
                  <c:v>0.16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492-4652-AD95-8DA5069F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6046416"/>
        <c:axId val="516046896"/>
      </c:barChart>
      <c:lineChart>
        <c:grouping val="standard"/>
        <c:varyColors val="0"/>
        <c:ser>
          <c:idx val="0"/>
          <c:order val="0"/>
          <c:tx>
            <c:strRef>
              <c:f>Month!$M$2</c:f>
              <c:strCache>
                <c:ptCount val="1"/>
                <c:pt idx="0">
                  <c:v>PR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Month!$M$3:$M$314</c:f>
              <c:numCache>
                <c:formatCode>0.0%</c:formatCode>
                <c:ptCount val="312"/>
                <c:pt idx="96">
                  <c:v>8.4000000000000005E-2</c:v>
                </c:pt>
                <c:pt idx="97">
                  <c:v>8.4000000000000005E-2</c:v>
                </c:pt>
                <c:pt idx="98">
                  <c:v>9.7500000000000003E-2</c:v>
                </c:pt>
                <c:pt idx="99">
                  <c:v>9.7500000000000003E-2</c:v>
                </c:pt>
                <c:pt idx="100">
                  <c:v>9.7500000000000003E-2</c:v>
                </c:pt>
                <c:pt idx="101">
                  <c:v>9.7500000000000003E-2</c:v>
                </c:pt>
                <c:pt idx="102">
                  <c:v>9.7500000000000003E-2</c:v>
                </c:pt>
                <c:pt idx="103">
                  <c:v>9.7500000000000003E-2</c:v>
                </c:pt>
                <c:pt idx="104">
                  <c:v>0.10249999999999999</c:v>
                </c:pt>
                <c:pt idx="105">
                  <c:v>0.10249999999999999</c:v>
                </c:pt>
                <c:pt idx="106">
                  <c:v>9.7500000000000003E-2</c:v>
                </c:pt>
                <c:pt idx="107">
                  <c:v>9.7500000000000003E-2</c:v>
                </c:pt>
                <c:pt idx="108">
                  <c:v>9.7500000000000003E-2</c:v>
                </c:pt>
                <c:pt idx="109">
                  <c:v>9.7500000000000003E-2</c:v>
                </c:pt>
                <c:pt idx="110">
                  <c:v>0.14000000000000001</c:v>
                </c:pt>
                <c:pt idx="111">
                  <c:v>0.14000000000000001</c:v>
                </c:pt>
                <c:pt idx="112">
                  <c:v>0.1275</c:v>
                </c:pt>
                <c:pt idx="113">
                  <c:v>0.115</c:v>
                </c:pt>
                <c:pt idx="114">
                  <c:v>0.115</c:v>
                </c:pt>
                <c:pt idx="115">
                  <c:v>0.115</c:v>
                </c:pt>
                <c:pt idx="116">
                  <c:v>0.1</c:v>
                </c:pt>
                <c:pt idx="117">
                  <c:v>0.1</c:v>
                </c:pt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0.11</c:v>
                </c:pt>
                <c:pt idx="125">
                  <c:v>0.11</c:v>
                </c:pt>
                <c:pt idx="126">
                  <c:v>0.11</c:v>
                </c:pt>
                <c:pt idx="127">
                  <c:v>0.11</c:v>
                </c:pt>
                <c:pt idx="128">
                  <c:v>0.11</c:v>
                </c:pt>
                <c:pt idx="129">
                  <c:v>0.11</c:v>
                </c:pt>
                <c:pt idx="130">
                  <c:v>0.11</c:v>
                </c:pt>
                <c:pt idx="131">
                  <c:v>0.11</c:v>
                </c:pt>
                <c:pt idx="132">
                  <c:v>0.11</c:v>
                </c:pt>
                <c:pt idx="133">
                  <c:v>0.11</c:v>
                </c:pt>
                <c:pt idx="134">
                  <c:v>0.11</c:v>
                </c:pt>
                <c:pt idx="135">
                  <c:v>0.115</c:v>
                </c:pt>
                <c:pt idx="136">
                  <c:v>0.115</c:v>
                </c:pt>
                <c:pt idx="137">
                  <c:v>0.115</c:v>
                </c:pt>
                <c:pt idx="138">
                  <c:v>0.115</c:v>
                </c:pt>
                <c:pt idx="139">
                  <c:v>0.11749999999999999</c:v>
                </c:pt>
                <c:pt idx="140">
                  <c:v>0.11749999999999999</c:v>
                </c:pt>
                <c:pt idx="141">
                  <c:v>0.1225</c:v>
                </c:pt>
                <c:pt idx="142">
                  <c:v>0.1225</c:v>
                </c:pt>
                <c:pt idx="143">
                  <c:v>0.1225</c:v>
                </c:pt>
                <c:pt idx="144">
                  <c:v>0.1225</c:v>
                </c:pt>
                <c:pt idx="145">
                  <c:v>0.1225</c:v>
                </c:pt>
                <c:pt idx="146">
                  <c:v>0.1275</c:v>
                </c:pt>
                <c:pt idx="147">
                  <c:v>0.13250000000000001</c:v>
                </c:pt>
                <c:pt idx="148">
                  <c:v>0.13250000000000001</c:v>
                </c:pt>
                <c:pt idx="149">
                  <c:v>0.13250000000000001</c:v>
                </c:pt>
                <c:pt idx="150">
                  <c:v>0.13250000000000001</c:v>
                </c:pt>
                <c:pt idx="151">
                  <c:v>0.13250000000000001</c:v>
                </c:pt>
                <c:pt idx="152">
                  <c:v>0.13250000000000001</c:v>
                </c:pt>
                <c:pt idx="153">
                  <c:v>0.13250000000000001</c:v>
                </c:pt>
                <c:pt idx="154">
                  <c:v>0.13250000000000001</c:v>
                </c:pt>
                <c:pt idx="155">
                  <c:v>0.13250000000000001</c:v>
                </c:pt>
                <c:pt idx="156">
                  <c:v>0.125</c:v>
                </c:pt>
                <c:pt idx="157">
                  <c:v>0.125</c:v>
                </c:pt>
                <c:pt idx="158">
                  <c:v>0.125</c:v>
                </c:pt>
                <c:pt idx="159">
                  <c:v>0.115</c:v>
                </c:pt>
                <c:pt idx="160">
                  <c:v>0.115</c:v>
                </c:pt>
                <c:pt idx="161">
                  <c:v>0.105</c:v>
                </c:pt>
                <c:pt idx="162">
                  <c:v>0.105</c:v>
                </c:pt>
                <c:pt idx="163">
                  <c:v>0.105</c:v>
                </c:pt>
                <c:pt idx="164">
                  <c:v>0.105</c:v>
                </c:pt>
                <c:pt idx="165">
                  <c:v>0.105</c:v>
                </c:pt>
                <c:pt idx="166">
                  <c:v>0.105</c:v>
                </c:pt>
                <c:pt idx="167">
                  <c:v>0.105</c:v>
                </c:pt>
                <c:pt idx="168">
                  <c:v>0.105</c:v>
                </c:pt>
                <c:pt idx="169">
                  <c:v>0.105</c:v>
                </c:pt>
                <c:pt idx="170">
                  <c:v>0.105</c:v>
                </c:pt>
                <c:pt idx="171">
                  <c:v>0.105</c:v>
                </c:pt>
                <c:pt idx="172">
                  <c:v>0.105</c:v>
                </c:pt>
                <c:pt idx="173">
                  <c:v>0.105</c:v>
                </c:pt>
                <c:pt idx="174">
                  <c:v>0.12</c:v>
                </c:pt>
                <c:pt idx="175">
                  <c:v>0.12</c:v>
                </c:pt>
                <c:pt idx="176">
                  <c:v>0.12</c:v>
                </c:pt>
                <c:pt idx="177">
                  <c:v>0.12</c:v>
                </c:pt>
                <c:pt idx="178">
                  <c:v>0.12</c:v>
                </c:pt>
                <c:pt idx="179">
                  <c:v>0.12</c:v>
                </c:pt>
                <c:pt idx="180">
                  <c:v>0.13</c:v>
                </c:pt>
                <c:pt idx="181">
                  <c:v>0.13</c:v>
                </c:pt>
                <c:pt idx="182">
                  <c:v>0.13</c:v>
                </c:pt>
                <c:pt idx="183">
                  <c:v>0.13</c:v>
                </c:pt>
                <c:pt idx="184">
                  <c:v>0.13</c:v>
                </c:pt>
                <c:pt idx="185">
                  <c:v>0.13</c:v>
                </c:pt>
                <c:pt idx="186">
                  <c:v>0.13</c:v>
                </c:pt>
                <c:pt idx="187">
                  <c:v>0.13</c:v>
                </c:pt>
                <c:pt idx="188">
                  <c:v>0.13</c:v>
                </c:pt>
                <c:pt idx="189">
                  <c:v>0.13</c:v>
                </c:pt>
                <c:pt idx="190">
                  <c:v>0.13</c:v>
                </c:pt>
                <c:pt idx="191">
                  <c:v>0.13</c:v>
                </c:pt>
                <c:pt idx="192">
                  <c:v>0.12</c:v>
                </c:pt>
                <c:pt idx="193">
                  <c:v>0.12</c:v>
                </c:pt>
                <c:pt idx="194">
                  <c:v>0.12</c:v>
                </c:pt>
                <c:pt idx="195">
                  <c:v>0.12</c:v>
                </c:pt>
                <c:pt idx="196">
                  <c:v>0.105</c:v>
                </c:pt>
                <c:pt idx="197">
                  <c:v>0.105</c:v>
                </c:pt>
                <c:pt idx="198">
                  <c:v>0.105</c:v>
                </c:pt>
                <c:pt idx="199">
                  <c:v>0.15</c:v>
                </c:pt>
                <c:pt idx="200">
                  <c:v>0.15</c:v>
                </c:pt>
                <c:pt idx="201">
                  <c:v>0.15</c:v>
                </c:pt>
                <c:pt idx="202">
                  <c:v>0.15</c:v>
                </c:pt>
                <c:pt idx="203">
                  <c:v>0.14000000000000001</c:v>
                </c:pt>
                <c:pt idx="204">
                  <c:v>0.14000000000000001</c:v>
                </c:pt>
                <c:pt idx="205">
                  <c:v>0.14000000000000001</c:v>
                </c:pt>
                <c:pt idx="206">
                  <c:v>0.14000000000000001</c:v>
                </c:pt>
                <c:pt idx="207">
                  <c:v>0.14000000000000001</c:v>
                </c:pt>
                <c:pt idx="208">
                  <c:v>0.14000000000000001</c:v>
                </c:pt>
                <c:pt idx="209">
                  <c:v>0.12</c:v>
                </c:pt>
                <c:pt idx="210">
                  <c:v>0.12</c:v>
                </c:pt>
                <c:pt idx="211">
                  <c:v>0.12</c:v>
                </c:pt>
                <c:pt idx="212">
                  <c:v>0.12</c:v>
                </c:pt>
                <c:pt idx="213">
                  <c:v>0.12</c:v>
                </c:pt>
                <c:pt idx="214">
                  <c:v>0.12</c:v>
                </c:pt>
                <c:pt idx="215">
                  <c:v>0.11</c:v>
                </c:pt>
                <c:pt idx="216">
                  <c:v>0.11</c:v>
                </c:pt>
                <c:pt idx="217">
                  <c:v>0.11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0.11</c:v>
                </c:pt>
                <c:pt idx="227">
                  <c:v>0.11</c:v>
                </c:pt>
                <c:pt idx="228">
                  <c:v>0.11</c:v>
                </c:pt>
                <c:pt idx="229">
                  <c:v>0.11</c:v>
                </c:pt>
                <c:pt idx="230">
                  <c:v>0.11</c:v>
                </c:pt>
                <c:pt idx="231">
                  <c:v>0.11</c:v>
                </c:pt>
                <c:pt idx="232">
                  <c:v>0.11</c:v>
                </c:pt>
                <c:pt idx="233">
                  <c:v>0.11</c:v>
                </c:pt>
                <c:pt idx="234">
                  <c:v>0.11</c:v>
                </c:pt>
                <c:pt idx="235">
                  <c:v>0.11</c:v>
                </c:pt>
                <c:pt idx="236">
                  <c:v>0.11</c:v>
                </c:pt>
                <c:pt idx="237">
                  <c:v>0.11</c:v>
                </c:pt>
                <c:pt idx="238">
                  <c:v>0.11</c:v>
                </c:pt>
                <c:pt idx="239">
                  <c:v>0.11</c:v>
                </c:pt>
                <c:pt idx="240">
                  <c:v>0.11</c:v>
                </c:pt>
                <c:pt idx="241">
                  <c:v>0.11</c:v>
                </c:pt>
                <c:pt idx="242">
                  <c:v>0.1</c:v>
                </c:pt>
                <c:pt idx="243">
                  <c:v>0.09</c:v>
                </c:pt>
                <c:pt idx="244">
                  <c:v>0.09</c:v>
                </c:pt>
                <c:pt idx="245">
                  <c:v>0.09</c:v>
                </c:pt>
                <c:pt idx="246">
                  <c:v>0.09</c:v>
                </c:pt>
                <c:pt idx="247">
                  <c:v>0.09</c:v>
                </c:pt>
                <c:pt idx="248">
                  <c:v>0.08</c:v>
                </c:pt>
                <c:pt idx="249">
                  <c:v>0.08</c:v>
                </c:pt>
                <c:pt idx="250">
                  <c:v>0.06</c:v>
                </c:pt>
                <c:pt idx="251">
                  <c:v>0.06</c:v>
                </c:pt>
                <c:pt idx="252">
                  <c:v>0.06</c:v>
                </c:pt>
                <c:pt idx="253">
                  <c:v>0.06</c:v>
                </c:pt>
                <c:pt idx="254">
                  <c:v>0.06</c:v>
                </c:pt>
                <c:pt idx="255">
                  <c:v>0.06</c:v>
                </c:pt>
                <c:pt idx="256">
                  <c:v>0.06</c:v>
                </c:pt>
                <c:pt idx="257">
                  <c:v>0.06</c:v>
                </c:pt>
                <c:pt idx="258">
                  <c:v>0.06</c:v>
                </c:pt>
                <c:pt idx="259">
                  <c:v>0.06</c:v>
                </c:pt>
                <c:pt idx="260">
                  <c:v>0.06</c:v>
                </c:pt>
                <c:pt idx="261">
                  <c:v>0.06</c:v>
                </c:pt>
                <c:pt idx="262">
                  <c:v>0.06</c:v>
                </c:pt>
                <c:pt idx="263">
                  <c:v>0.06</c:v>
                </c:pt>
                <c:pt idx="264">
                  <c:v>6.5000000000000002E-2</c:v>
                </c:pt>
                <c:pt idx="265">
                  <c:v>6.5000000000000002E-2</c:v>
                </c:pt>
                <c:pt idx="266">
                  <c:v>0.09</c:v>
                </c:pt>
                <c:pt idx="267">
                  <c:v>0.09</c:v>
                </c:pt>
                <c:pt idx="268">
                  <c:v>0.09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0.12</c:v>
                </c:pt>
                <c:pt idx="273">
                  <c:v>0.12</c:v>
                </c:pt>
                <c:pt idx="274">
                  <c:v>0.12</c:v>
                </c:pt>
                <c:pt idx="275">
                  <c:v>0.13</c:v>
                </c:pt>
                <c:pt idx="276">
                  <c:v>0.13</c:v>
                </c:pt>
                <c:pt idx="277">
                  <c:v>0.13</c:v>
                </c:pt>
                <c:pt idx="278">
                  <c:v>0.13</c:v>
                </c:pt>
                <c:pt idx="279">
                  <c:v>0.13</c:v>
                </c:pt>
                <c:pt idx="280">
                  <c:v>0.13</c:v>
                </c:pt>
                <c:pt idx="281">
                  <c:v>0.13</c:v>
                </c:pt>
                <c:pt idx="282">
                  <c:v>0.13</c:v>
                </c:pt>
                <c:pt idx="283">
                  <c:v>0.13</c:v>
                </c:pt>
                <c:pt idx="284">
                  <c:v>0.13</c:v>
                </c:pt>
                <c:pt idx="285">
                  <c:v>0.13</c:v>
                </c:pt>
                <c:pt idx="286">
                  <c:v>0.13</c:v>
                </c:pt>
                <c:pt idx="287">
                  <c:v>0.13</c:v>
                </c:pt>
                <c:pt idx="288">
                  <c:v>0.13</c:v>
                </c:pt>
                <c:pt idx="289">
                  <c:v>0.13</c:v>
                </c:pt>
                <c:pt idx="290">
                  <c:v>0.12</c:v>
                </c:pt>
                <c:pt idx="291">
                  <c:v>0.12</c:v>
                </c:pt>
                <c:pt idx="292">
                  <c:v>0.11</c:v>
                </c:pt>
                <c:pt idx="293">
                  <c:v>0.11</c:v>
                </c:pt>
                <c:pt idx="294">
                  <c:v>0.11</c:v>
                </c:pt>
                <c:pt idx="295">
                  <c:v>0.11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0.12</c:v>
                </c:pt>
                <c:pt idx="303">
                  <c:v>0.12</c:v>
                </c:pt>
                <c:pt idx="304">
                  <c:v>0.12</c:v>
                </c:pt>
                <c:pt idx="30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2-4652-AD95-8DA5069F7F8B}"/>
            </c:ext>
          </c:extLst>
        </c:ser>
        <c:ser>
          <c:idx val="1"/>
          <c:order val="1"/>
          <c:tx>
            <c:strRef>
              <c:f>Month!$N$2</c:f>
              <c:strCache>
                <c:ptCount val="1"/>
                <c:pt idx="0">
                  <c:v>NIR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Month!$N$3:$N$314</c:f>
              <c:numCache>
                <c:formatCode>0.0%</c:formatCode>
                <c:ptCount val="312"/>
                <c:pt idx="97">
                  <c:v>9.2177177027834623E-2</c:v>
                </c:pt>
                <c:pt idx="98">
                  <c:v>0.10206482887268066</c:v>
                </c:pt>
                <c:pt idx="99">
                  <c:v>0.10155220985412598</c:v>
                </c:pt>
                <c:pt idx="100">
                  <c:v>0.10122403144836425</c:v>
                </c:pt>
                <c:pt idx="101">
                  <c:v>0.10057867050170899</c:v>
                </c:pt>
                <c:pt idx="102">
                  <c:v>9.9671201705932619E-2</c:v>
                </c:pt>
                <c:pt idx="103">
                  <c:v>9.8627471923828119E-2</c:v>
                </c:pt>
                <c:pt idx="104">
                  <c:v>0.10127012252807617</c:v>
                </c:pt>
                <c:pt idx="105">
                  <c:v>9.9388265609741205E-2</c:v>
                </c:pt>
                <c:pt idx="106">
                  <c:v>9.4822988510131836E-2</c:v>
                </c:pt>
                <c:pt idx="107">
                  <c:v>9.5472946166992187E-2</c:v>
                </c:pt>
                <c:pt idx="108">
                  <c:v>9.6652164459228515E-2</c:v>
                </c:pt>
                <c:pt idx="109">
                  <c:v>9.7580327987670898E-2</c:v>
                </c:pt>
                <c:pt idx="110">
                  <c:v>0.13130761146545411</c:v>
                </c:pt>
                <c:pt idx="111">
                  <c:v>0.1289656639099121</c:v>
                </c:pt>
                <c:pt idx="112">
                  <c:v>0.12032625198364258</c:v>
                </c:pt>
                <c:pt idx="113">
                  <c:v>0.11174003601074219</c:v>
                </c:pt>
                <c:pt idx="114">
                  <c:v>0.11248069763183594</c:v>
                </c:pt>
                <c:pt idx="115">
                  <c:v>0.11337226867675781</c:v>
                </c:pt>
                <c:pt idx="116">
                  <c:v>0.1025844669342041</c:v>
                </c:pt>
                <c:pt idx="117">
                  <c:v>0.10363090515136719</c:v>
                </c:pt>
                <c:pt idx="118">
                  <c:v>0.10428649902343751</c:v>
                </c:pt>
                <c:pt idx="119">
                  <c:v>0.10498627662658691</c:v>
                </c:pt>
                <c:pt idx="120">
                  <c:v>0.10577625274658203</c:v>
                </c:pt>
                <c:pt idx="121">
                  <c:v>0.10557165145874023</c:v>
                </c:pt>
                <c:pt idx="122">
                  <c:v>0.10529898643493653</c:v>
                </c:pt>
                <c:pt idx="123">
                  <c:v>0.10479246139526367</c:v>
                </c:pt>
                <c:pt idx="124">
                  <c:v>0.11206233978271485</c:v>
                </c:pt>
                <c:pt idx="125">
                  <c:v>0.11166011810302734</c:v>
                </c:pt>
                <c:pt idx="126">
                  <c:v>0.11201948165893555</c:v>
                </c:pt>
                <c:pt idx="127">
                  <c:v>0.11142080307006835</c:v>
                </c:pt>
                <c:pt idx="128">
                  <c:v>0.11147727966308593</c:v>
                </c:pt>
                <c:pt idx="129">
                  <c:v>0.11136331558227539</c:v>
                </c:pt>
                <c:pt idx="130">
                  <c:v>0.11037979125976563</c:v>
                </c:pt>
                <c:pt idx="131">
                  <c:v>0.10935642242431641</c:v>
                </c:pt>
                <c:pt idx="132">
                  <c:v>0.10971376419067383</c:v>
                </c:pt>
                <c:pt idx="133">
                  <c:v>0.1098746395111084</c:v>
                </c:pt>
                <c:pt idx="134">
                  <c:v>0.11005082130432128</c:v>
                </c:pt>
                <c:pt idx="135">
                  <c:v>0.11427625656127929</c:v>
                </c:pt>
                <c:pt idx="136">
                  <c:v>0.11448724746704102</c:v>
                </c:pt>
                <c:pt idx="137">
                  <c:v>0.11469758987426758</c:v>
                </c:pt>
                <c:pt idx="138">
                  <c:v>0.11436574935913085</c:v>
                </c:pt>
                <c:pt idx="139">
                  <c:v>0.11604491233825684</c:v>
                </c:pt>
                <c:pt idx="140">
                  <c:v>0.11572637557983398</c:v>
                </c:pt>
                <c:pt idx="141">
                  <c:v>0.11978276252746582</c:v>
                </c:pt>
                <c:pt idx="142">
                  <c:v>0.11982086181640625</c:v>
                </c:pt>
                <c:pt idx="143">
                  <c:v>0.11972285270690917</c:v>
                </c:pt>
                <c:pt idx="144">
                  <c:v>0.11952411651611328</c:v>
                </c:pt>
                <c:pt idx="145">
                  <c:v>0.11825340270996093</c:v>
                </c:pt>
                <c:pt idx="146">
                  <c:v>0.12158248901367187</c:v>
                </c:pt>
                <c:pt idx="147">
                  <c:v>0.12504484176635741</c:v>
                </c:pt>
                <c:pt idx="148">
                  <c:v>0.12465593338012695</c:v>
                </c:pt>
                <c:pt idx="149">
                  <c:v>0.12440560340881347</c:v>
                </c:pt>
                <c:pt idx="150">
                  <c:v>0.12449005126953125</c:v>
                </c:pt>
                <c:pt idx="151">
                  <c:v>0.12478226661682129</c:v>
                </c:pt>
                <c:pt idx="152">
                  <c:v>0.12525823593139648</c:v>
                </c:pt>
                <c:pt idx="153">
                  <c:v>0.12521203994750976</c:v>
                </c:pt>
                <c:pt idx="154">
                  <c:v>0.12588397979736329</c:v>
                </c:pt>
                <c:pt idx="155">
                  <c:v>0.12657607078552247</c:v>
                </c:pt>
                <c:pt idx="156">
                  <c:v>0.12193883895874023</c:v>
                </c:pt>
                <c:pt idx="157">
                  <c:v>0.12254814147949218</c:v>
                </c:pt>
                <c:pt idx="158">
                  <c:v>0.12326360702514648</c:v>
                </c:pt>
                <c:pt idx="159">
                  <c:v>0.11674838066101074</c:v>
                </c:pt>
                <c:pt idx="160">
                  <c:v>0.11805318832397461</c:v>
                </c:pt>
                <c:pt idx="161">
                  <c:v>0.1113755989074707</c:v>
                </c:pt>
                <c:pt idx="162">
                  <c:v>0.11221641540527344</c:v>
                </c:pt>
                <c:pt idx="163">
                  <c:v>0.11352505683898925</c:v>
                </c:pt>
                <c:pt idx="164">
                  <c:v>0.11506096839904785</c:v>
                </c:pt>
                <c:pt idx="165">
                  <c:v>0.11568603515625001</c:v>
                </c:pt>
                <c:pt idx="166">
                  <c:v>0.11631072998046875</c:v>
                </c:pt>
                <c:pt idx="167">
                  <c:v>0.11553041458129883</c:v>
                </c:pt>
                <c:pt idx="168">
                  <c:v>0.11619811058044434</c:v>
                </c:pt>
                <c:pt idx="169">
                  <c:v>0.11622888565063477</c:v>
                </c:pt>
                <c:pt idx="170">
                  <c:v>0.11606671333312989</c:v>
                </c:pt>
                <c:pt idx="171">
                  <c:v>0.11577919006347656</c:v>
                </c:pt>
                <c:pt idx="172">
                  <c:v>0.11574852943420411</c:v>
                </c:pt>
                <c:pt idx="173">
                  <c:v>0.11563668251037598</c:v>
                </c:pt>
                <c:pt idx="174">
                  <c:v>0.12617901802062989</c:v>
                </c:pt>
                <c:pt idx="175">
                  <c:v>0.12485520362854004</c:v>
                </c:pt>
                <c:pt idx="176">
                  <c:v>0.12322404861450195</c:v>
                </c:pt>
                <c:pt idx="177">
                  <c:v>0.1221483039855957</c:v>
                </c:pt>
                <c:pt idx="178">
                  <c:v>0.12104545593261719</c:v>
                </c:pt>
                <c:pt idx="179">
                  <c:v>0.11966042518615723</c:v>
                </c:pt>
                <c:pt idx="180">
                  <c:v>0.12708446502685547</c:v>
                </c:pt>
                <c:pt idx="181">
                  <c:v>0.12673090934753417</c:v>
                </c:pt>
                <c:pt idx="182">
                  <c:v>0.12674837112426757</c:v>
                </c:pt>
                <c:pt idx="183">
                  <c:v>0.12697818756103516</c:v>
                </c:pt>
                <c:pt idx="184">
                  <c:v>0.12671331405639649</c:v>
                </c:pt>
                <c:pt idx="185">
                  <c:v>0.12630004882812501</c:v>
                </c:pt>
                <c:pt idx="186">
                  <c:v>0.12666969299316405</c:v>
                </c:pt>
                <c:pt idx="187">
                  <c:v>0.12621007919311522</c:v>
                </c:pt>
                <c:pt idx="188">
                  <c:v>0.12632083892822266</c:v>
                </c:pt>
                <c:pt idx="189">
                  <c:v>0.12703989028930665</c:v>
                </c:pt>
                <c:pt idx="190">
                  <c:v>0.1270458221435547</c:v>
                </c:pt>
                <c:pt idx="191">
                  <c:v>0.12707426071166991</c:v>
                </c:pt>
                <c:pt idx="192">
                  <c:v>0.11935073852539063</c:v>
                </c:pt>
                <c:pt idx="193">
                  <c:v>0.11966058731079102</c:v>
                </c:pt>
                <c:pt idx="194">
                  <c:v>0.12010360717773437</c:v>
                </c:pt>
                <c:pt idx="195">
                  <c:v>0.11958306312561034</c:v>
                </c:pt>
                <c:pt idx="196">
                  <c:v>0.1076917839050293</c:v>
                </c:pt>
                <c:pt idx="197">
                  <c:v>0.10688986778259277</c:v>
                </c:pt>
                <c:pt idx="198">
                  <c:v>0.10639348983764649</c:v>
                </c:pt>
                <c:pt idx="199">
                  <c:v>0.14082497596740723</c:v>
                </c:pt>
                <c:pt idx="200">
                  <c:v>0.14003025054931639</c:v>
                </c:pt>
                <c:pt idx="201">
                  <c:v>0.13951690673828124</c:v>
                </c:pt>
                <c:pt idx="202">
                  <c:v>0.13939733505249025</c:v>
                </c:pt>
                <c:pt idx="203">
                  <c:v>0.13135412216186523</c:v>
                </c:pt>
                <c:pt idx="204">
                  <c:v>0.13107791900634766</c:v>
                </c:pt>
                <c:pt idx="205">
                  <c:v>0.13065512657165526</c:v>
                </c:pt>
                <c:pt idx="206">
                  <c:v>0.13018197059631348</c:v>
                </c:pt>
                <c:pt idx="207">
                  <c:v>0.12988399505615233</c:v>
                </c:pt>
                <c:pt idx="208">
                  <c:v>0.13022585868835448</c:v>
                </c:pt>
                <c:pt idx="209">
                  <c:v>0.11556386947631836</c:v>
                </c:pt>
                <c:pt idx="210">
                  <c:v>0.11653924942016601</c:v>
                </c:pt>
                <c:pt idx="211">
                  <c:v>0.11745386123657227</c:v>
                </c:pt>
                <c:pt idx="212">
                  <c:v>0.1183164119720459</c:v>
                </c:pt>
                <c:pt idx="213">
                  <c:v>0.11878730773925782</c:v>
                </c:pt>
                <c:pt idx="214">
                  <c:v>0.11930932998657226</c:v>
                </c:pt>
                <c:pt idx="215">
                  <c:v>0.1121932601928711</c:v>
                </c:pt>
                <c:pt idx="216">
                  <c:v>0.1129953384399414</c:v>
                </c:pt>
                <c:pt idx="217">
                  <c:v>0.11324308395385742</c:v>
                </c:pt>
                <c:pt idx="218">
                  <c:v>0.10550110816955566</c:v>
                </c:pt>
                <c:pt idx="219">
                  <c:v>0.10528293609619141</c:v>
                </c:pt>
                <c:pt idx="220">
                  <c:v>0.10479255676269532</c:v>
                </c:pt>
                <c:pt idx="221">
                  <c:v>0.1044621467590332</c:v>
                </c:pt>
                <c:pt idx="222">
                  <c:v>0.10356478691101074</c:v>
                </c:pt>
                <c:pt idx="223">
                  <c:v>0.10247917175292968</c:v>
                </c:pt>
                <c:pt idx="224">
                  <c:v>0.10174055099487304</c:v>
                </c:pt>
                <c:pt idx="225">
                  <c:v>0.10115686416625977</c:v>
                </c:pt>
                <c:pt idx="226">
                  <c:v>0.10765000343322755</c:v>
                </c:pt>
                <c:pt idx="227">
                  <c:v>0.10709929466247559</c:v>
                </c:pt>
                <c:pt idx="228">
                  <c:v>0.10645078659057618</c:v>
                </c:pt>
                <c:pt idx="229">
                  <c:v>0.10583692550659179</c:v>
                </c:pt>
                <c:pt idx="230">
                  <c:v>0.1054266357421875</c:v>
                </c:pt>
                <c:pt idx="231">
                  <c:v>0.10495939254760742</c:v>
                </c:pt>
                <c:pt idx="232">
                  <c:v>0.10425058364868164</c:v>
                </c:pt>
                <c:pt idx="233">
                  <c:v>0.10377360343933105</c:v>
                </c:pt>
                <c:pt idx="234">
                  <c:v>0.10371302604675293</c:v>
                </c:pt>
                <c:pt idx="235">
                  <c:v>0.10308265686035156</c:v>
                </c:pt>
                <c:pt idx="236">
                  <c:v>0.10266637802124023</c:v>
                </c:pt>
                <c:pt idx="237">
                  <c:v>0.10281593322753907</c:v>
                </c:pt>
                <c:pt idx="238">
                  <c:v>0.10322057723999023</c:v>
                </c:pt>
                <c:pt idx="239">
                  <c:v>0.10339388847351075</c:v>
                </c:pt>
                <c:pt idx="240">
                  <c:v>0.10426780700683594</c:v>
                </c:pt>
                <c:pt idx="241">
                  <c:v>0.10444392204284668</c:v>
                </c:pt>
                <c:pt idx="242">
                  <c:v>9.6870517730712896E-2</c:v>
                </c:pt>
                <c:pt idx="243">
                  <c:v>8.9631032943725583E-2</c:v>
                </c:pt>
                <c:pt idx="244">
                  <c:v>9.0331745147705075E-2</c:v>
                </c:pt>
                <c:pt idx="245">
                  <c:v>9.1810178756713864E-2</c:v>
                </c:pt>
                <c:pt idx="246">
                  <c:v>9.2188634872436517E-2</c:v>
                </c:pt>
                <c:pt idx="247">
                  <c:v>9.3482522964477538E-2</c:v>
                </c:pt>
                <c:pt idx="248">
                  <c:v>8.6742649078369136E-2</c:v>
                </c:pt>
                <c:pt idx="249">
                  <c:v>8.7789287567138677E-2</c:v>
                </c:pt>
                <c:pt idx="250">
                  <c:v>7.3581728935241703E-2</c:v>
                </c:pt>
                <c:pt idx="251">
                  <c:v>7.5239572525024417E-2</c:v>
                </c:pt>
                <c:pt idx="252">
                  <c:v>7.5773458480834957E-2</c:v>
                </c:pt>
                <c:pt idx="253">
                  <c:v>7.6495933532714847E-2</c:v>
                </c:pt>
                <c:pt idx="254">
                  <c:v>7.7166452407836914E-2</c:v>
                </c:pt>
                <c:pt idx="255">
                  <c:v>7.7875461578369137E-2</c:v>
                </c:pt>
                <c:pt idx="256">
                  <c:v>7.853793621063232E-2</c:v>
                </c:pt>
                <c:pt idx="257">
                  <c:v>7.8581590652465824E-2</c:v>
                </c:pt>
                <c:pt idx="258">
                  <c:v>7.8215656280517576E-2</c:v>
                </c:pt>
                <c:pt idx="259">
                  <c:v>7.8011636734008794E-2</c:v>
                </c:pt>
                <c:pt idx="260">
                  <c:v>7.7635073661804194E-2</c:v>
                </c:pt>
                <c:pt idx="261">
                  <c:v>7.7264747619628912E-2</c:v>
                </c:pt>
                <c:pt idx="262">
                  <c:v>7.6514797210693361E-2</c:v>
                </c:pt>
                <c:pt idx="263">
                  <c:v>7.5349779129028321E-2</c:v>
                </c:pt>
                <c:pt idx="264">
                  <c:v>7.8086271286010742E-2</c:v>
                </c:pt>
                <c:pt idx="265">
                  <c:v>7.7153286933898932E-2</c:v>
                </c:pt>
                <c:pt idx="266">
                  <c:v>9.477237701416015E-2</c:v>
                </c:pt>
                <c:pt idx="267">
                  <c:v>9.4780578613281249E-2</c:v>
                </c:pt>
                <c:pt idx="268">
                  <c:v>9.4052972793579104E-2</c:v>
                </c:pt>
                <c:pt idx="269">
                  <c:v>0.10089577674865723</c:v>
                </c:pt>
                <c:pt idx="270">
                  <c:v>9.9773807525634764E-2</c:v>
                </c:pt>
                <c:pt idx="271">
                  <c:v>9.8726739883422857E-2</c:v>
                </c:pt>
                <c:pt idx="272">
                  <c:v>0.11292705535888672</c:v>
                </c:pt>
                <c:pt idx="273">
                  <c:v>0.11215775489807128</c:v>
                </c:pt>
                <c:pt idx="274">
                  <c:v>0.1117794418334961</c:v>
                </c:pt>
                <c:pt idx="275">
                  <c:v>0.1189434814453125</c:v>
                </c:pt>
                <c:pt idx="276">
                  <c:v>0.11816921234130859</c:v>
                </c:pt>
                <c:pt idx="277">
                  <c:v>0.11756513595581054</c:v>
                </c:pt>
                <c:pt idx="278">
                  <c:v>0.11719285011291504</c:v>
                </c:pt>
                <c:pt idx="279">
                  <c:v>0.11658098220825196</c:v>
                </c:pt>
                <c:pt idx="280">
                  <c:v>0.11605034828186035</c:v>
                </c:pt>
                <c:pt idx="281">
                  <c:v>0.11557723999023438</c:v>
                </c:pt>
                <c:pt idx="282">
                  <c:v>0.11579505920410156</c:v>
                </c:pt>
                <c:pt idx="283">
                  <c:v>0.11614353179931641</c:v>
                </c:pt>
                <c:pt idx="284">
                  <c:v>0.11659249305725097</c:v>
                </c:pt>
                <c:pt idx="285">
                  <c:v>0.11719020843505859</c:v>
                </c:pt>
                <c:pt idx="286">
                  <c:v>0.1181671142578125</c:v>
                </c:pt>
                <c:pt idx="287">
                  <c:v>0.11909662246704102</c:v>
                </c:pt>
                <c:pt idx="288">
                  <c:v>0.12029397010803222</c:v>
                </c:pt>
                <c:pt idx="289">
                  <c:v>0.12131109237670898</c:v>
                </c:pt>
                <c:pt idx="290">
                  <c:v>0.11466854095458984</c:v>
                </c:pt>
                <c:pt idx="291">
                  <c:v>0.11581016540527343</c:v>
                </c:pt>
                <c:pt idx="292">
                  <c:v>0.10918610572814941</c:v>
                </c:pt>
                <c:pt idx="293">
                  <c:v>0.11038887023925781</c:v>
                </c:pt>
                <c:pt idx="294">
                  <c:v>0.1113992977142334</c:v>
                </c:pt>
                <c:pt idx="295">
                  <c:v>0.11225705146789551</c:v>
                </c:pt>
                <c:pt idx="296">
                  <c:v>0.10534673690795898</c:v>
                </c:pt>
                <c:pt idx="297">
                  <c:v>0.10558638572692872</c:v>
                </c:pt>
                <c:pt idx="298">
                  <c:v>0.10532762527465821</c:v>
                </c:pt>
                <c:pt idx="299">
                  <c:v>0.10512535095214844</c:v>
                </c:pt>
                <c:pt idx="300">
                  <c:v>0.10502320289611816</c:v>
                </c:pt>
                <c:pt idx="301">
                  <c:v>0.10538910865783692</c:v>
                </c:pt>
                <c:pt idx="302">
                  <c:v>0.12078407287597656</c:v>
                </c:pt>
                <c:pt idx="303">
                  <c:v>0.12164512634277344</c:v>
                </c:pt>
                <c:pt idx="304">
                  <c:v>0.12138116836547852</c:v>
                </c:pt>
                <c:pt idx="305">
                  <c:v>0.120716552734375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2-4652-AD95-8DA5069F7F8B}"/>
            </c:ext>
          </c:extLst>
        </c:ser>
        <c:ser>
          <c:idx val="2"/>
          <c:order val="2"/>
          <c:tx>
            <c:strRef>
              <c:f>Month!$O$2</c:f>
              <c:strCache>
                <c:ptCount val="1"/>
                <c:pt idx="0">
                  <c:v>Taylor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Month!$O$3:$O$314</c:f>
              <c:numCache>
                <c:formatCode>0.0%</c:formatCode>
                <c:ptCount val="312"/>
                <c:pt idx="96">
                  <c:v>9.3019514083862304E-2</c:v>
                </c:pt>
                <c:pt idx="97">
                  <c:v>9.2843065261840815E-2</c:v>
                </c:pt>
                <c:pt idx="98">
                  <c:v>0.10564630508422851</c:v>
                </c:pt>
                <c:pt idx="99">
                  <c:v>0.10459766387939454</c:v>
                </c:pt>
                <c:pt idx="100">
                  <c:v>0.10428555488586426</c:v>
                </c:pt>
                <c:pt idx="101">
                  <c:v>0.10310159683227539</c:v>
                </c:pt>
                <c:pt idx="102">
                  <c:v>0.10121027946472168</c:v>
                </c:pt>
                <c:pt idx="103">
                  <c:v>9.9025020599365229E-2</c:v>
                </c:pt>
                <c:pt idx="104">
                  <c:v>0.10156254768371582</c:v>
                </c:pt>
                <c:pt idx="105">
                  <c:v>9.6303577423095699E-2</c:v>
                </c:pt>
                <c:pt idx="106">
                  <c:v>9.0152473449707032E-2</c:v>
                </c:pt>
                <c:pt idx="107">
                  <c:v>9.4245595932006834E-2</c:v>
                </c:pt>
                <c:pt idx="108">
                  <c:v>0.10016917228698731</c:v>
                </c:pt>
                <c:pt idx="109">
                  <c:v>0.10453926086425781</c:v>
                </c:pt>
                <c:pt idx="110">
                  <c:v>0.15316871643066407</c:v>
                </c:pt>
                <c:pt idx="111">
                  <c:v>0.14450321197509766</c:v>
                </c:pt>
                <c:pt idx="112">
                  <c:v>0.13408632278442384</c:v>
                </c:pt>
                <c:pt idx="113">
                  <c:v>0.12292527198791504</c:v>
                </c:pt>
                <c:pt idx="114">
                  <c:v>0.1232181167602539</c:v>
                </c:pt>
                <c:pt idx="115">
                  <c:v>0.12417068481445312</c:v>
                </c:pt>
                <c:pt idx="116">
                  <c:v>0.10869609832763671</c:v>
                </c:pt>
                <c:pt idx="117">
                  <c:v>0.10962010383605957</c:v>
                </c:pt>
                <c:pt idx="118">
                  <c:v>0.10959463119506836</c:v>
                </c:pt>
                <c:pt idx="119">
                  <c:v>0.11003552436828613</c:v>
                </c:pt>
                <c:pt idx="120">
                  <c:v>0.11123700141906738</c:v>
                </c:pt>
                <c:pt idx="121">
                  <c:v>0.10893193244934082</c:v>
                </c:pt>
                <c:pt idx="122">
                  <c:v>0.10685563087463379</c:v>
                </c:pt>
                <c:pt idx="123">
                  <c:v>0.10433104515075683</c:v>
                </c:pt>
                <c:pt idx="124">
                  <c:v>0.11303605079650879</c:v>
                </c:pt>
                <c:pt idx="125">
                  <c:v>0.11201983451843261</c:v>
                </c:pt>
                <c:pt idx="126">
                  <c:v>0.11398022651672363</c:v>
                </c:pt>
                <c:pt idx="127">
                  <c:v>0.11222994804382325</c:v>
                </c:pt>
                <c:pt idx="128">
                  <c:v>0.1131054973602295</c:v>
                </c:pt>
                <c:pt idx="129">
                  <c:v>0.11320245742797852</c:v>
                </c:pt>
                <c:pt idx="130">
                  <c:v>0.10964596748352051</c:v>
                </c:pt>
                <c:pt idx="131">
                  <c:v>0.10570804595947265</c:v>
                </c:pt>
                <c:pt idx="132">
                  <c:v>0.1070588207244873</c:v>
                </c:pt>
                <c:pt idx="133">
                  <c:v>0.10741240501403809</c:v>
                </c:pt>
                <c:pt idx="134">
                  <c:v>0.10766984939575196</c:v>
                </c:pt>
                <c:pt idx="135">
                  <c:v>0.11389016151428223</c:v>
                </c:pt>
                <c:pt idx="136">
                  <c:v>0.11437579154968262</c:v>
                </c:pt>
                <c:pt idx="137">
                  <c:v>0.11481374740600586</c:v>
                </c:pt>
                <c:pt idx="138">
                  <c:v>0.11328166961669922</c:v>
                </c:pt>
                <c:pt idx="139">
                  <c:v>0.11498575210571289</c:v>
                </c:pt>
                <c:pt idx="140">
                  <c:v>0.11416784286499024</c:v>
                </c:pt>
                <c:pt idx="141">
                  <c:v>0.12094352722167968</c:v>
                </c:pt>
                <c:pt idx="142">
                  <c:v>0.12225893020629883</c:v>
                </c:pt>
                <c:pt idx="143">
                  <c:v>0.12312153816223144</c:v>
                </c:pt>
                <c:pt idx="144">
                  <c:v>0.12374083518981933</c:v>
                </c:pt>
                <c:pt idx="145">
                  <c:v>0.12012203216552735</c:v>
                </c:pt>
                <c:pt idx="146">
                  <c:v>0.12467370033264161</c:v>
                </c:pt>
                <c:pt idx="147">
                  <c:v>0.12971194267272948</c:v>
                </c:pt>
                <c:pt idx="148">
                  <c:v>0.12917790412902833</c:v>
                </c:pt>
                <c:pt idx="149">
                  <c:v>0.12861671447753906</c:v>
                </c:pt>
                <c:pt idx="150">
                  <c:v>0.1288875961303711</c:v>
                </c:pt>
                <c:pt idx="151">
                  <c:v>0.12943192481994628</c:v>
                </c:pt>
                <c:pt idx="152">
                  <c:v>0.1301358985900879</c:v>
                </c:pt>
                <c:pt idx="153">
                  <c:v>0.12819104194641112</c:v>
                </c:pt>
                <c:pt idx="154">
                  <c:v>0.1286044979095459</c:v>
                </c:pt>
                <c:pt idx="155">
                  <c:v>0.12865654945373536</c:v>
                </c:pt>
                <c:pt idx="156">
                  <c:v>0.12227367401123047</c:v>
                </c:pt>
                <c:pt idx="157">
                  <c:v>0.12116814613342285</c:v>
                </c:pt>
                <c:pt idx="158">
                  <c:v>0.12058677673339843</c:v>
                </c:pt>
                <c:pt idx="159">
                  <c:v>0.1113709831237793</c:v>
                </c:pt>
                <c:pt idx="160">
                  <c:v>0.11290032386779786</c:v>
                </c:pt>
                <c:pt idx="161">
                  <c:v>0.10329954147338867</c:v>
                </c:pt>
                <c:pt idx="162">
                  <c:v>0.10341684341430664</c:v>
                </c:pt>
                <c:pt idx="163">
                  <c:v>0.10604889869689942</c:v>
                </c:pt>
                <c:pt idx="164">
                  <c:v>0.10998069763183593</c:v>
                </c:pt>
                <c:pt idx="165">
                  <c:v>0.11070387840270995</c:v>
                </c:pt>
                <c:pt idx="166">
                  <c:v>0.11189309120178223</c:v>
                </c:pt>
                <c:pt idx="167">
                  <c:v>0.10795212745666503</c:v>
                </c:pt>
                <c:pt idx="168">
                  <c:v>0.11030543327331543</c:v>
                </c:pt>
                <c:pt idx="169">
                  <c:v>0.11061580657958985</c:v>
                </c:pt>
                <c:pt idx="170">
                  <c:v>0.11065070152282715</c:v>
                </c:pt>
                <c:pt idx="171">
                  <c:v>0.11065975189208985</c:v>
                </c:pt>
                <c:pt idx="172">
                  <c:v>0.11213685035705566</c:v>
                </c:pt>
                <c:pt idx="173">
                  <c:v>0.11367897987365723</c:v>
                </c:pt>
                <c:pt idx="174">
                  <c:v>0.12769527435302735</c:v>
                </c:pt>
                <c:pt idx="175">
                  <c:v>0.12541261672973633</c:v>
                </c:pt>
                <c:pt idx="176">
                  <c:v>0.12157205581665038</c:v>
                </c:pt>
                <c:pt idx="177">
                  <c:v>0.11997549057006836</c:v>
                </c:pt>
                <c:pt idx="178">
                  <c:v>0.1181716537475586</c:v>
                </c:pt>
                <c:pt idx="179">
                  <c:v>0.11501811027526855</c:v>
                </c:pt>
                <c:pt idx="180">
                  <c:v>0.12645514488220214</c:v>
                </c:pt>
                <c:pt idx="181">
                  <c:v>0.12696567535400391</c:v>
                </c:pt>
                <c:pt idx="182">
                  <c:v>0.12814013481140138</c:v>
                </c:pt>
                <c:pt idx="183">
                  <c:v>0.12961039543151856</c:v>
                </c:pt>
                <c:pt idx="184">
                  <c:v>0.12854276657104491</c:v>
                </c:pt>
                <c:pt idx="185">
                  <c:v>0.12635817527770996</c:v>
                </c:pt>
                <c:pt idx="186">
                  <c:v>0.12685871124267578</c:v>
                </c:pt>
                <c:pt idx="187">
                  <c:v>0.1237106704711914</c:v>
                </c:pt>
                <c:pt idx="188">
                  <c:v>0.12265894889831543</c:v>
                </c:pt>
                <c:pt idx="189">
                  <c:v>0.12402300834655762</c:v>
                </c:pt>
                <c:pt idx="190">
                  <c:v>0.12269463539123535</c:v>
                </c:pt>
                <c:pt idx="191">
                  <c:v>0.12178919792175293</c:v>
                </c:pt>
                <c:pt idx="192">
                  <c:v>0.11067319869995117</c:v>
                </c:pt>
                <c:pt idx="193">
                  <c:v>0.11168197631835937</c:v>
                </c:pt>
                <c:pt idx="194">
                  <c:v>0.11422384262084961</c:v>
                </c:pt>
                <c:pt idx="195">
                  <c:v>0.11363134384155274</c:v>
                </c:pt>
                <c:pt idx="196">
                  <c:v>9.871423721313477E-2</c:v>
                </c:pt>
                <c:pt idx="197">
                  <c:v>9.783853530883789E-2</c:v>
                </c:pt>
                <c:pt idx="198">
                  <c:v>9.9130830764770514E-2</c:v>
                </c:pt>
                <c:pt idx="199">
                  <c:v>0.14904990196228027</c:v>
                </c:pt>
                <c:pt idx="200">
                  <c:v>0.15095751762390136</c:v>
                </c:pt>
                <c:pt idx="201">
                  <c:v>0.15248797416687013</c:v>
                </c:pt>
                <c:pt idx="202">
                  <c:v>0.15527000427246093</c:v>
                </c:pt>
                <c:pt idx="203">
                  <c:v>0.14614764213562012</c:v>
                </c:pt>
                <c:pt idx="204">
                  <c:v>0.14679202079772949</c:v>
                </c:pt>
                <c:pt idx="205">
                  <c:v>0.14636075019836425</c:v>
                </c:pt>
                <c:pt idx="206">
                  <c:v>0.14486647605895997</c:v>
                </c:pt>
                <c:pt idx="207">
                  <c:v>0.14320751190185546</c:v>
                </c:pt>
                <c:pt idx="208">
                  <c:v>0.14329723358154298</c:v>
                </c:pt>
                <c:pt idx="209">
                  <c:v>0.12328851699829102</c:v>
                </c:pt>
                <c:pt idx="210">
                  <c:v>0.12404189109802247</c:v>
                </c:pt>
                <c:pt idx="211">
                  <c:v>0.124808988571167</c:v>
                </c:pt>
                <c:pt idx="212">
                  <c:v>0.12521059989929198</c:v>
                </c:pt>
                <c:pt idx="213">
                  <c:v>0.12409733772277833</c:v>
                </c:pt>
                <c:pt idx="214">
                  <c:v>0.12343839645385742</c:v>
                </c:pt>
                <c:pt idx="215">
                  <c:v>0.11296009063720704</c:v>
                </c:pt>
                <c:pt idx="216">
                  <c:v>0.114097261428833</c:v>
                </c:pt>
                <c:pt idx="217">
                  <c:v>0.11398521423339844</c:v>
                </c:pt>
                <c:pt idx="218">
                  <c:v>0.10293261528015137</c:v>
                </c:pt>
                <c:pt idx="219">
                  <c:v>0.10206902503967286</c:v>
                </c:pt>
                <c:pt idx="220">
                  <c:v>0.10110116004943848</c:v>
                </c:pt>
                <c:pt idx="221">
                  <c:v>0.1013741683959961</c:v>
                </c:pt>
                <c:pt idx="222">
                  <c:v>9.9879179000854496E-2</c:v>
                </c:pt>
                <c:pt idx="223">
                  <c:v>9.8012466430664066E-2</c:v>
                </c:pt>
                <c:pt idx="224">
                  <c:v>9.7789468765258791E-2</c:v>
                </c:pt>
                <c:pt idx="225">
                  <c:v>9.8318681716918946E-2</c:v>
                </c:pt>
                <c:pt idx="226">
                  <c:v>0.10686511993408203</c:v>
                </c:pt>
                <c:pt idx="227">
                  <c:v>0.10777846336364746</c:v>
                </c:pt>
                <c:pt idx="228">
                  <c:v>0.10783735275268555</c:v>
                </c:pt>
                <c:pt idx="229">
                  <c:v>0.10782539367675781</c:v>
                </c:pt>
                <c:pt idx="230">
                  <c:v>0.10838236808776855</c:v>
                </c:pt>
                <c:pt idx="231">
                  <c:v>0.10844685554504395</c:v>
                </c:pt>
                <c:pt idx="232">
                  <c:v>0.10727324485778808</c:v>
                </c:pt>
                <c:pt idx="233">
                  <c:v>0.10675516128540039</c:v>
                </c:pt>
                <c:pt idx="234">
                  <c:v>0.10763303756713867</c:v>
                </c:pt>
                <c:pt idx="235">
                  <c:v>0.10596168518066407</c:v>
                </c:pt>
                <c:pt idx="236">
                  <c:v>0.10487070083618164</c:v>
                </c:pt>
                <c:pt idx="237">
                  <c:v>0.10575363159179688</c:v>
                </c:pt>
                <c:pt idx="238">
                  <c:v>0.10734668731689453</c:v>
                </c:pt>
                <c:pt idx="239">
                  <c:v>0.10767746925354003</c:v>
                </c:pt>
                <c:pt idx="240">
                  <c:v>0.11044438362121582</c:v>
                </c:pt>
                <c:pt idx="241">
                  <c:v>0.11002593994140625</c:v>
                </c:pt>
                <c:pt idx="242">
                  <c:v>9.8503084182739259E-2</c:v>
                </c:pt>
                <c:pt idx="243">
                  <c:v>8.7579631805419916E-2</c:v>
                </c:pt>
                <c:pt idx="244">
                  <c:v>8.7685241699218749E-2</c:v>
                </c:pt>
                <c:pt idx="245">
                  <c:v>9.0812730789184573E-2</c:v>
                </c:pt>
                <c:pt idx="246">
                  <c:v>8.9185762405395511E-2</c:v>
                </c:pt>
                <c:pt idx="247">
                  <c:v>9.0931158065795895E-2</c:v>
                </c:pt>
                <c:pt idx="248">
                  <c:v>8.0646705627441403E-2</c:v>
                </c:pt>
                <c:pt idx="249">
                  <c:v>8.0786333084106446E-2</c:v>
                </c:pt>
                <c:pt idx="250">
                  <c:v>6.0849471092224119E-2</c:v>
                </c:pt>
                <c:pt idx="251">
                  <c:v>6.326837062835694E-2</c:v>
                </c:pt>
                <c:pt idx="252">
                  <c:v>6.2065677642822267E-2</c:v>
                </c:pt>
                <c:pt idx="253">
                  <c:v>6.1989498138427732E-2</c:v>
                </c:pt>
                <c:pt idx="254">
                  <c:v>6.2183771133422855E-2</c:v>
                </c:pt>
                <c:pt idx="255">
                  <c:v>6.3100047111511237E-2</c:v>
                </c:pt>
                <c:pt idx="256">
                  <c:v>6.4467468261718744E-2</c:v>
                </c:pt>
                <c:pt idx="257">
                  <c:v>6.4042787551879879E-2</c:v>
                </c:pt>
                <c:pt idx="258">
                  <c:v>6.2684030532836915E-2</c:v>
                </c:pt>
                <c:pt idx="259">
                  <c:v>6.267353534698486E-2</c:v>
                </c:pt>
                <c:pt idx="260">
                  <c:v>6.2646327018737791E-2</c:v>
                </c:pt>
                <c:pt idx="261">
                  <c:v>6.3269572257995607E-2</c:v>
                </c:pt>
                <c:pt idx="262">
                  <c:v>6.2934322357177733E-2</c:v>
                </c:pt>
                <c:pt idx="263">
                  <c:v>6.1419739723205566E-2</c:v>
                </c:pt>
                <c:pt idx="264">
                  <c:v>6.5748887062072756E-2</c:v>
                </c:pt>
                <c:pt idx="265">
                  <c:v>6.6008629798889162E-2</c:v>
                </c:pt>
                <c:pt idx="266">
                  <c:v>8.975141525268554E-2</c:v>
                </c:pt>
                <c:pt idx="267">
                  <c:v>9.4709033966064449E-2</c:v>
                </c:pt>
                <c:pt idx="268">
                  <c:v>9.5970077514648436E-2</c:v>
                </c:pt>
                <c:pt idx="269">
                  <c:v>0.10714037895202637</c:v>
                </c:pt>
                <c:pt idx="270">
                  <c:v>0.10693135261535644</c:v>
                </c:pt>
                <c:pt idx="271">
                  <c:v>0.10650324821472168</c:v>
                </c:pt>
                <c:pt idx="272">
                  <c:v>0.1261740207672119</c:v>
                </c:pt>
                <c:pt idx="273">
                  <c:v>0.1268775749206543</c:v>
                </c:pt>
                <c:pt idx="274">
                  <c:v>0.12814850807189943</c:v>
                </c:pt>
                <c:pt idx="275">
                  <c:v>0.13885704040527344</c:v>
                </c:pt>
                <c:pt idx="276">
                  <c:v>0.1379694938659668</c:v>
                </c:pt>
                <c:pt idx="277">
                  <c:v>0.13695569992065429</c:v>
                </c:pt>
                <c:pt idx="278">
                  <c:v>0.13634150505065917</c:v>
                </c:pt>
                <c:pt idx="279">
                  <c:v>0.13421722412109374</c:v>
                </c:pt>
                <c:pt idx="280">
                  <c:v>0.1318490982055664</c:v>
                </c:pt>
                <c:pt idx="281">
                  <c:v>0.12913421630859376</c:v>
                </c:pt>
                <c:pt idx="282">
                  <c:v>0.12860864639282227</c:v>
                </c:pt>
                <c:pt idx="283">
                  <c:v>0.12804626464843749</c:v>
                </c:pt>
                <c:pt idx="284">
                  <c:v>0.12735541343688964</c:v>
                </c:pt>
                <c:pt idx="285">
                  <c:v>0.1267733383178711</c:v>
                </c:pt>
                <c:pt idx="286">
                  <c:v>0.12728171348571776</c:v>
                </c:pt>
                <c:pt idx="287">
                  <c:v>0.12724946022033692</c:v>
                </c:pt>
                <c:pt idx="288">
                  <c:v>0.1280270004272461</c:v>
                </c:pt>
                <c:pt idx="289">
                  <c:v>0.1279233455657959</c:v>
                </c:pt>
                <c:pt idx="290">
                  <c:v>0.11744017601013183</c:v>
                </c:pt>
                <c:pt idx="291">
                  <c:v>0.11753813743591308</c:v>
                </c:pt>
                <c:pt idx="292">
                  <c:v>0.10736993789672851</c:v>
                </c:pt>
                <c:pt idx="293">
                  <c:v>0.10817482948303223</c:v>
                </c:pt>
                <c:pt idx="294">
                  <c:v>0.10890156745910645</c:v>
                </c:pt>
                <c:pt idx="295">
                  <c:v>0.10947909355163574</c:v>
                </c:pt>
                <c:pt idx="296">
                  <c:v>9.9814281463623047E-2</c:v>
                </c:pt>
                <c:pt idx="297">
                  <c:v>9.8684568405151371E-2</c:v>
                </c:pt>
                <c:pt idx="298">
                  <c:v>9.6432571411132817E-2</c:v>
                </c:pt>
                <c:pt idx="299">
                  <c:v>9.4947929382324214E-2</c:v>
                </c:pt>
                <c:pt idx="300">
                  <c:v>9.4358444213867188E-2</c:v>
                </c:pt>
                <c:pt idx="301">
                  <c:v>9.6065130233764645E-2</c:v>
                </c:pt>
                <c:pt idx="302">
                  <c:v>0.11760263442993164</c:v>
                </c:pt>
                <c:pt idx="303">
                  <c:v>0.1224728775024414</c:v>
                </c:pt>
                <c:pt idx="304">
                  <c:v>0.12234245300292969</c:v>
                </c:pt>
                <c:pt idx="305">
                  <c:v>0.12061656951904297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2-4652-AD95-8DA5069F7F8B}"/>
            </c:ext>
          </c:extLst>
        </c:ser>
        <c:ser>
          <c:idx val="3"/>
          <c:order val="3"/>
          <c:tx>
            <c:strRef>
              <c:f>Month!$P$2</c:f>
              <c:strCache>
                <c:ptCount val="1"/>
                <c:pt idx="0">
                  <c:v>HP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Month!$P$3:$P$314</c:f>
              <c:numCache>
                <c:formatCode>0.0%</c:formatCode>
                <c:ptCount val="312"/>
                <c:pt idx="96">
                  <c:v>9.821854591369629E-2</c:v>
                </c:pt>
                <c:pt idx="97">
                  <c:v>9.8700599670410158E-2</c:v>
                </c:pt>
                <c:pt idx="98">
                  <c:v>9.9182233810424805E-2</c:v>
                </c:pt>
                <c:pt idx="99">
                  <c:v>9.9663877487182612E-2</c:v>
                </c:pt>
                <c:pt idx="100">
                  <c:v>0.10014496803283691</c:v>
                </c:pt>
                <c:pt idx="101">
                  <c:v>0.10062522888183593</c:v>
                </c:pt>
                <c:pt idx="102">
                  <c:v>0.10110439300537109</c:v>
                </c:pt>
                <c:pt idx="103">
                  <c:v>0.10158216476440429</c:v>
                </c:pt>
                <c:pt idx="104">
                  <c:v>0.10205821990966797</c:v>
                </c:pt>
                <c:pt idx="105">
                  <c:v>0.10253220558166504</c:v>
                </c:pt>
                <c:pt idx="106">
                  <c:v>0.10300375938415528</c:v>
                </c:pt>
                <c:pt idx="107">
                  <c:v>0.1034725284576416</c:v>
                </c:pt>
                <c:pt idx="108">
                  <c:v>0.10393813133239746</c:v>
                </c:pt>
                <c:pt idx="109">
                  <c:v>0.10440011024475097</c:v>
                </c:pt>
                <c:pt idx="110">
                  <c:v>0.10485797882080078</c:v>
                </c:pt>
                <c:pt idx="111">
                  <c:v>0.10531118392944336</c:v>
                </c:pt>
                <c:pt idx="112">
                  <c:v>0.10575946807861328</c:v>
                </c:pt>
                <c:pt idx="113">
                  <c:v>0.10620282173156738</c:v>
                </c:pt>
                <c:pt idx="114">
                  <c:v>0.10664138793945313</c:v>
                </c:pt>
                <c:pt idx="115">
                  <c:v>0.10707542419433594</c:v>
                </c:pt>
                <c:pt idx="116">
                  <c:v>0.10750519752502441</c:v>
                </c:pt>
                <c:pt idx="117">
                  <c:v>0.10793107986450196</c:v>
                </c:pt>
                <c:pt idx="118">
                  <c:v>0.10835336685180665</c:v>
                </c:pt>
                <c:pt idx="119">
                  <c:v>0.10877229690551758</c:v>
                </c:pt>
                <c:pt idx="120">
                  <c:v>0.10918802261352539</c:v>
                </c:pt>
                <c:pt idx="121">
                  <c:v>0.10960067749023437</c:v>
                </c:pt>
                <c:pt idx="122">
                  <c:v>0.1100102710723877</c:v>
                </c:pt>
                <c:pt idx="123">
                  <c:v>0.11041676521301269</c:v>
                </c:pt>
                <c:pt idx="124">
                  <c:v>0.11082005500793457</c:v>
                </c:pt>
                <c:pt idx="125">
                  <c:v>0.11121993064880371</c:v>
                </c:pt>
                <c:pt idx="126">
                  <c:v>0.11161618232727051</c:v>
                </c:pt>
                <c:pt idx="127">
                  <c:v>0.11200860977172851</c:v>
                </c:pt>
                <c:pt idx="128">
                  <c:v>0.1123969841003418</c:v>
                </c:pt>
                <c:pt idx="129">
                  <c:v>0.11278104782104492</c:v>
                </c:pt>
                <c:pt idx="130">
                  <c:v>0.11316055297851563</c:v>
                </c:pt>
                <c:pt idx="131">
                  <c:v>0.11353521347045899</c:v>
                </c:pt>
                <c:pt idx="132">
                  <c:v>0.11390473365783692</c:v>
                </c:pt>
                <c:pt idx="133">
                  <c:v>0.11426876068115234</c:v>
                </c:pt>
                <c:pt idx="134">
                  <c:v>0.1146269416809082</c:v>
                </c:pt>
                <c:pt idx="135">
                  <c:v>0.1149788761138916</c:v>
                </c:pt>
                <c:pt idx="136">
                  <c:v>0.11532412528991699</c:v>
                </c:pt>
                <c:pt idx="137">
                  <c:v>0.11566226959228515</c:v>
                </c:pt>
                <c:pt idx="138">
                  <c:v>0.11599287033081054</c:v>
                </c:pt>
                <c:pt idx="139">
                  <c:v>0.11631547927856445</c:v>
                </c:pt>
                <c:pt idx="140">
                  <c:v>0.11662965774536133</c:v>
                </c:pt>
                <c:pt idx="141">
                  <c:v>0.11693495750427246</c:v>
                </c:pt>
                <c:pt idx="142">
                  <c:v>0.11723095893859864</c:v>
                </c:pt>
                <c:pt idx="143">
                  <c:v>0.11751726150512695</c:v>
                </c:pt>
                <c:pt idx="144">
                  <c:v>0.11779352188110352</c:v>
                </c:pt>
                <c:pt idx="145">
                  <c:v>0.11805942535400391</c:v>
                </c:pt>
                <c:pt idx="146">
                  <c:v>0.11831470489501954</c:v>
                </c:pt>
                <c:pt idx="147">
                  <c:v>0.11855912208557129</c:v>
                </c:pt>
                <c:pt idx="148">
                  <c:v>0.11879250526428223</c:v>
                </c:pt>
                <c:pt idx="149">
                  <c:v>0.1190147876739502</c:v>
                </c:pt>
                <c:pt idx="150">
                  <c:v>0.11922602653503418</c:v>
                </c:pt>
                <c:pt idx="151">
                  <c:v>0.11942635536193848</c:v>
                </c:pt>
                <c:pt idx="152">
                  <c:v>0.11961603164672852</c:v>
                </c:pt>
                <c:pt idx="153">
                  <c:v>0.11979541778564454</c:v>
                </c:pt>
                <c:pt idx="154">
                  <c:v>0.11996495246887207</c:v>
                </c:pt>
                <c:pt idx="155">
                  <c:v>0.12012518882751465</c:v>
                </c:pt>
                <c:pt idx="156">
                  <c:v>0.12027677536010742</c:v>
                </c:pt>
                <c:pt idx="157">
                  <c:v>0.12042045593261719</c:v>
                </c:pt>
                <c:pt idx="158">
                  <c:v>0.12055700302124023</c:v>
                </c:pt>
                <c:pt idx="159">
                  <c:v>0.1206872272491455</c:v>
                </c:pt>
                <c:pt idx="160">
                  <c:v>0.12081198692321778</c:v>
                </c:pt>
                <c:pt idx="161">
                  <c:v>0.12093208312988281</c:v>
                </c:pt>
                <c:pt idx="162">
                  <c:v>0.12104826927185058</c:v>
                </c:pt>
                <c:pt idx="163">
                  <c:v>0.12116118431091309</c:v>
                </c:pt>
                <c:pt idx="164">
                  <c:v>0.12127134323120117</c:v>
                </c:pt>
                <c:pt idx="165">
                  <c:v>0.12137912750244141</c:v>
                </c:pt>
                <c:pt idx="166">
                  <c:v>0.12148480415344239</c:v>
                </c:pt>
                <c:pt idx="167">
                  <c:v>0.12158850669860839</c:v>
                </c:pt>
                <c:pt idx="168">
                  <c:v>0.12169025421142578</c:v>
                </c:pt>
                <c:pt idx="169">
                  <c:v>0.12178991317749023</c:v>
                </c:pt>
                <c:pt idx="170">
                  <c:v>0.12188723564147949</c:v>
                </c:pt>
                <c:pt idx="171">
                  <c:v>0.12198184967041016</c:v>
                </c:pt>
                <c:pt idx="172">
                  <c:v>0.12207324981689453</c:v>
                </c:pt>
                <c:pt idx="173">
                  <c:v>0.12216078758239746</c:v>
                </c:pt>
                <c:pt idx="174">
                  <c:v>0.12224370002746582</c:v>
                </c:pt>
                <c:pt idx="175">
                  <c:v>0.12232108116149902</c:v>
                </c:pt>
                <c:pt idx="176">
                  <c:v>0.12239201545715332</c:v>
                </c:pt>
                <c:pt idx="177">
                  <c:v>0.1224555492401123</c:v>
                </c:pt>
                <c:pt idx="178">
                  <c:v>0.1225107479095459</c:v>
                </c:pt>
                <c:pt idx="179">
                  <c:v>0.12255661010742187</c:v>
                </c:pt>
                <c:pt idx="180">
                  <c:v>0.1225921630859375</c:v>
                </c:pt>
                <c:pt idx="181">
                  <c:v>0.12261637687683105</c:v>
                </c:pt>
                <c:pt idx="182">
                  <c:v>0.1226283073425293</c:v>
                </c:pt>
                <c:pt idx="183">
                  <c:v>0.12262703895568848</c:v>
                </c:pt>
                <c:pt idx="184">
                  <c:v>0.12261173248291016</c:v>
                </c:pt>
                <c:pt idx="185">
                  <c:v>0.12258160591125489</c:v>
                </c:pt>
                <c:pt idx="186">
                  <c:v>0.12253592491149902</c:v>
                </c:pt>
                <c:pt idx="187">
                  <c:v>0.1224740219116211</c:v>
                </c:pt>
                <c:pt idx="188">
                  <c:v>0.12239526748657227</c:v>
                </c:pt>
                <c:pt idx="189">
                  <c:v>0.12229912757873534</c:v>
                </c:pt>
                <c:pt idx="190">
                  <c:v>0.12218507766723632</c:v>
                </c:pt>
                <c:pt idx="191">
                  <c:v>0.12205269813537598</c:v>
                </c:pt>
                <c:pt idx="192">
                  <c:v>0.12190159797668457</c:v>
                </c:pt>
                <c:pt idx="193">
                  <c:v>0.12173147201538086</c:v>
                </c:pt>
                <c:pt idx="194">
                  <c:v>0.12154196739196778</c:v>
                </c:pt>
                <c:pt idx="195">
                  <c:v>0.1213327693939209</c:v>
                </c:pt>
                <c:pt idx="196">
                  <c:v>0.12110348701477051</c:v>
                </c:pt>
                <c:pt idx="197">
                  <c:v>0.12085377693176269</c:v>
                </c:pt>
                <c:pt idx="198">
                  <c:v>0.12058314323425293</c:v>
                </c:pt>
                <c:pt idx="199">
                  <c:v>0.12029096603393555</c:v>
                </c:pt>
                <c:pt idx="200">
                  <c:v>0.11997651100158692</c:v>
                </c:pt>
                <c:pt idx="201">
                  <c:v>0.11963927268981933</c:v>
                </c:pt>
                <c:pt idx="202">
                  <c:v>0.11927897453308106</c:v>
                </c:pt>
                <c:pt idx="203">
                  <c:v>0.11889558792114258</c:v>
                </c:pt>
                <c:pt idx="204">
                  <c:v>0.11848930358886718</c:v>
                </c:pt>
                <c:pt idx="205">
                  <c:v>0.11806048393249512</c:v>
                </c:pt>
                <c:pt idx="206">
                  <c:v>0.11760964393615722</c:v>
                </c:pt>
                <c:pt idx="207">
                  <c:v>0.11713749885559083</c:v>
                </c:pt>
                <c:pt idx="208">
                  <c:v>0.11664490699768067</c:v>
                </c:pt>
                <c:pt idx="209">
                  <c:v>0.11613291740417481</c:v>
                </c:pt>
                <c:pt idx="210">
                  <c:v>0.11560275077819825</c:v>
                </c:pt>
                <c:pt idx="211">
                  <c:v>0.11505565643310547</c:v>
                </c:pt>
                <c:pt idx="212">
                  <c:v>0.11449293136596679</c:v>
                </c:pt>
                <c:pt idx="213">
                  <c:v>0.1139159107208252</c:v>
                </c:pt>
                <c:pt idx="214">
                  <c:v>0.11332594871520996</c:v>
                </c:pt>
                <c:pt idx="215">
                  <c:v>0.11272446632385254</c:v>
                </c:pt>
                <c:pt idx="216">
                  <c:v>0.11211294174194336</c:v>
                </c:pt>
                <c:pt idx="217">
                  <c:v>0.11149280548095702</c:v>
                </c:pt>
                <c:pt idx="218">
                  <c:v>0.11086549758911132</c:v>
                </c:pt>
                <c:pt idx="219">
                  <c:v>0.11023243904113769</c:v>
                </c:pt>
                <c:pt idx="220">
                  <c:v>0.1095949649810791</c:v>
                </c:pt>
                <c:pt idx="221">
                  <c:v>0.10895432472229004</c:v>
                </c:pt>
                <c:pt idx="222">
                  <c:v>0.10831170082092285</c:v>
                </c:pt>
                <c:pt idx="223">
                  <c:v>0.1076682186126709</c:v>
                </c:pt>
                <c:pt idx="224">
                  <c:v>0.10702491760253906</c:v>
                </c:pt>
                <c:pt idx="225">
                  <c:v>0.10638278007507324</c:v>
                </c:pt>
                <c:pt idx="226">
                  <c:v>0.10574275970458985</c:v>
                </c:pt>
                <c:pt idx="227">
                  <c:v>0.10510573387145997</c:v>
                </c:pt>
                <c:pt idx="228">
                  <c:v>0.10447262763977051</c:v>
                </c:pt>
                <c:pt idx="229">
                  <c:v>0.10384438514709472</c:v>
                </c:pt>
                <c:pt idx="230">
                  <c:v>0.10322201728820801</c:v>
                </c:pt>
                <c:pt idx="231">
                  <c:v>0.10260656356811523</c:v>
                </c:pt>
                <c:pt idx="232">
                  <c:v>0.10199913024902343</c:v>
                </c:pt>
                <c:pt idx="233">
                  <c:v>0.10140087127685547</c:v>
                </c:pt>
                <c:pt idx="234">
                  <c:v>0.10081300735473633</c:v>
                </c:pt>
                <c:pt idx="235">
                  <c:v>0.10023681640625</c:v>
                </c:pt>
                <c:pt idx="236">
                  <c:v>9.9673671722412108E-2</c:v>
                </c:pt>
                <c:pt idx="237">
                  <c:v>9.912497520446778E-2</c:v>
                </c:pt>
                <c:pt idx="238">
                  <c:v>9.8592262268066402E-2</c:v>
                </c:pt>
                <c:pt idx="239">
                  <c:v>9.807711601257324E-2</c:v>
                </c:pt>
                <c:pt idx="240">
                  <c:v>9.7581224441528322E-2</c:v>
                </c:pt>
                <c:pt idx="241">
                  <c:v>9.7106361389160151E-2</c:v>
                </c:pt>
                <c:pt idx="242">
                  <c:v>9.6654386520385743E-2</c:v>
                </c:pt>
                <c:pt idx="243">
                  <c:v>9.6227283477783199E-2</c:v>
                </c:pt>
                <c:pt idx="244">
                  <c:v>9.582704544067383E-2</c:v>
                </c:pt>
                <c:pt idx="245">
                  <c:v>9.5455608367919928E-2</c:v>
                </c:pt>
                <c:pt idx="246">
                  <c:v>9.5114889144897463E-2</c:v>
                </c:pt>
                <c:pt idx="247">
                  <c:v>9.4806747436523439E-2</c:v>
                </c:pt>
                <c:pt idx="248">
                  <c:v>9.4532995223999022E-2</c:v>
                </c:pt>
                <c:pt idx="249">
                  <c:v>9.4295415878295902E-2</c:v>
                </c:pt>
                <c:pt idx="250">
                  <c:v>9.4095697402954107E-2</c:v>
                </c:pt>
                <c:pt idx="251">
                  <c:v>9.393538475036621E-2</c:v>
                </c:pt>
                <c:pt idx="252">
                  <c:v>9.3815784454345699E-2</c:v>
                </c:pt>
                <c:pt idx="253">
                  <c:v>9.3737926483154294E-2</c:v>
                </c:pt>
                <c:pt idx="254">
                  <c:v>9.3702592849731439E-2</c:v>
                </c:pt>
                <c:pt idx="255">
                  <c:v>9.3710298538208003E-2</c:v>
                </c:pt>
                <c:pt idx="256">
                  <c:v>9.3761291503906247E-2</c:v>
                </c:pt>
                <c:pt idx="257">
                  <c:v>9.3855581283569342E-2</c:v>
                </c:pt>
                <c:pt idx="258">
                  <c:v>9.399289131164551E-2</c:v>
                </c:pt>
                <c:pt idx="259">
                  <c:v>9.4172697067260738E-2</c:v>
                </c:pt>
                <c:pt idx="260">
                  <c:v>9.4394207000732422E-2</c:v>
                </c:pt>
                <c:pt idx="261">
                  <c:v>9.4656372070312494E-2</c:v>
                </c:pt>
                <c:pt idx="262">
                  <c:v>9.4957876205444339E-2</c:v>
                </c:pt>
                <c:pt idx="263">
                  <c:v>9.5297136306762689E-2</c:v>
                </c:pt>
                <c:pt idx="264">
                  <c:v>9.5672292709350584E-2</c:v>
                </c:pt>
                <c:pt idx="265">
                  <c:v>9.6081209182739255E-2</c:v>
                </c:pt>
                <c:pt idx="266">
                  <c:v>9.652153968811035E-2</c:v>
                </c:pt>
                <c:pt idx="267">
                  <c:v>9.6990671157836911E-2</c:v>
                </c:pt>
                <c:pt idx="268">
                  <c:v>9.7485952377319329E-2</c:v>
                </c:pt>
                <c:pt idx="269">
                  <c:v>9.8004665374755856E-2</c:v>
                </c:pt>
                <c:pt idx="270">
                  <c:v>9.8544054031372064E-2</c:v>
                </c:pt>
                <c:pt idx="271">
                  <c:v>9.9101371765136725E-2</c:v>
                </c:pt>
                <c:pt idx="272">
                  <c:v>9.9673862457275386E-2</c:v>
                </c:pt>
                <c:pt idx="273">
                  <c:v>0.10025880813598632</c:v>
                </c:pt>
                <c:pt idx="274">
                  <c:v>0.10085363388061523</c:v>
                </c:pt>
                <c:pt idx="275">
                  <c:v>0.10145590782165527</c:v>
                </c:pt>
                <c:pt idx="276">
                  <c:v>0.1020633602142334</c:v>
                </c:pt>
                <c:pt idx="277">
                  <c:v>0.10267394065856933</c:v>
                </c:pt>
                <c:pt idx="278">
                  <c:v>0.10328579902648925</c:v>
                </c:pt>
                <c:pt idx="279">
                  <c:v>0.10389730453491211</c:v>
                </c:pt>
                <c:pt idx="280">
                  <c:v>0.10450704574584961</c:v>
                </c:pt>
                <c:pt idx="281">
                  <c:v>0.10511380195617676</c:v>
                </c:pt>
                <c:pt idx="282">
                  <c:v>0.10571653366088868</c:v>
                </c:pt>
                <c:pt idx="283">
                  <c:v>0.10631442070007324</c:v>
                </c:pt>
                <c:pt idx="284">
                  <c:v>0.10690681457519531</c:v>
                </c:pt>
                <c:pt idx="285">
                  <c:v>0.10749325752258301</c:v>
                </c:pt>
                <c:pt idx="286">
                  <c:v>0.10807346343994141</c:v>
                </c:pt>
                <c:pt idx="287">
                  <c:v>0.10864731788635254</c:v>
                </c:pt>
                <c:pt idx="288">
                  <c:v>0.1092148780822754</c:v>
                </c:pt>
                <c:pt idx="289">
                  <c:v>0.10977636337280273</c:v>
                </c:pt>
                <c:pt idx="290">
                  <c:v>0.11033217430114746</c:v>
                </c:pt>
                <c:pt idx="291">
                  <c:v>0.11088284492492675</c:v>
                </c:pt>
                <c:pt idx="292">
                  <c:v>0.11142897605895996</c:v>
                </c:pt>
                <c:pt idx="293">
                  <c:v>0.11197127342224121</c:v>
                </c:pt>
                <c:pt idx="294">
                  <c:v>0.11251038551330567</c:v>
                </c:pt>
                <c:pt idx="295">
                  <c:v>0.11304699897766113</c:v>
                </c:pt>
                <c:pt idx="296">
                  <c:v>0.11358173370361328</c:v>
                </c:pt>
                <c:pt idx="297">
                  <c:v>0.11411520957946777</c:v>
                </c:pt>
                <c:pt idx="298">
                  <c:v>0.11464793205261231</c:v>
                </c:pt>
                <c:pt idx="299">
                  <c:v>0.1151803207397461</c:v>
                </c:pt>
                <c:pt idx="300">
                  <c:v>0.11571265220642089</c:v>
                </c:pt>
                <c:pt idx="301">
                  <c:v>0.11624509811401368</c:v>
                </c:pt>
                <c:pt idx="302">
                  <c:v>0.11677770614624024</c:v>
                </c:pt>
                <c:pt idx="303">
                  <c:v>0.11731040954589844</c:v>
                </c:pt>
                <c:pt idx="304">
                  <c:v>0.1178431510925293</c:v>
                </c:pt>
                <c:pt idx="305">
                  <c:v>0.11837591171264648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92-4652-AD95-8DA5069F7F8B}"/>
            </c:ext>
          </c:extLst>
        </c:ser>
        <c:ser>
          <c:idx val="4"/>
          <c:order val="4"/>
          <c:tx>
            <c:strRef>
              <c:f>Month!$Q$2</c:f>
              <c:strCache>
                <c:ptCount val="1"/>
                <c:pt idx="0">
                  <c:v>BN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Month!$Q$3:$Q$314</c:f>
              <c:numCache>
                <c:formatCode>0.0%</c:formatCode>
                <c:ptCount val="312"/>
                <c:pt idx="97">
                  <c:v>8.4483816448740812E-2</c:v>
                </c:pt>
                <c:pt idx="98">
                  <c:v>9.7912635803222653E-2</c:v>
                </c:pt>
                <c:pt idx="99">
                  <c:v>9.7494640350341791E-2</c:v>
                </c:pt>
                <c:pt idx="100">
                  <c:v>9.7494640350341791E-2</c:v>
                </c:pt>
                <c:pt idx="101">
                  <c:v>9.7494640350341791E-2</c:v>
                </c:pt>
                <c:pt idx="102">
                  <c:v>9.7494640350341791E-2</c:v>
                </c:pt>
                <c:pt idx="103">
                  <c:v>9.7494640350341791E-2</c:v>
                </c:pt>
                <c:pt idx="104">
                  <c:v>0.10264945030212402</c:v>
                </c:pt>
                <c:pt idx="105">
                  <c:v>0.1024946403503418</c:v>
                </c:pt>
                <c:pt idx="106">
                  <c:v>9.7339830398559576E-2</c:v>
                </c:pt>
                <c:pt idx="107">
                  <c:v>9.7494640350341791E-2</c:v>
                </c:pt>
                <c:pt idx="108">
                  <c:v>9.7494640350341791E-2</c:v>
                </c:pt>
                <c:pt idx="109">
                  <c:v>9.7494640350341791E-2</c:v>
                </c:pt>
                <c:pt idx="110">
                  <c:v>0.14131055831909178</c:v>
                </c:pt>
                <c:pt idx="111">
                  <c:v>0.13999464035034179</c:v>
                </c:pt>
                <c:pt idx="112">
                  <c:v>0.12710761070251464</c:v>
                </c:pt>
                <c:pt idx="113">
                  <c:v>0.11460761070251464</c:v>
                </c:pt>
                <c:pt idx="114">
                  <c:v>0.11499464035034179</c:v>
                </c:pt>
                <c:pt idx="115">
                  <c:v>0.11499464035034179</c:v>
                </c:pt>
                <c:pt idx="116">
                  <c:v>9.9530200958251949E-2</c:v>
                </c:pt>
                <c:pt idx="117">
                  <c:v>9.9994640350341793E-2</c:v>
                </c:pt>
                <c:pt idx="118">
                  <c:v>9.9994640350341793E-2</c:v>
                </c:pt>
                <c:pt idx="119">
                  <c:v>9.9994640350341793E-2</c:v>
                </c:pt>
                <c:pt idx="120">
                  <c:v>9.9994640350341793E-2</c:v>
                </c:pt>
                <c:pt idx="121">
                  <c:v>9.9994640350341793E-2</c:v>
                </c:pt>
                <c:pt idx="122">
                  <c:v>9.9994640350341793E-2</c:v>
                </c:pt>
                <c:pt idx="123">
                  <c:v>9.9994640350341793E-2</c:v>
                </c:pt>
                <c:pt idx="124">
                  <c:v>0.11030426979064942</c:v>
                </c:pt>
                <c:pt idx="125">
                  <c:v>0.1099946403503418</c:v>
                </c:pt>
                <c:pt idx="126">
                  <c:v>0.1099946403503418</c:v>
                </c:pt>
                <c:pt idx="127">
                  <c:v>0.1099946403503418</c:v>
                </c:pt>
                <c:pt idx="128">
                  <c:v>0.1099946403503418</c:v>
                </c:pt>
                <c:pt idx="129">
                  <c:v>0.1099946403503418</c:v>
                </c:pt>
                <c:pt idx="130">
                  <c:v>0.1099946403503418</c:v>
                </c:pt>
                <c:pt idx="131">
                  <c:v>0.1099946403503418</c:v>
                </c:pt>
                <c:pt idx="132">
                  <c:v>0.1099946403503418</c:v>
                </c:pt>
                <c:pt idx="133">
                  <c:v>0.1099946403503418</c:v>
                </c:pt>
                <c:pt idx="134">
                  <c:v>0.1099946403503418</c:v>
                </c:pt>
                <c:pt idx="135">
                  <c:v>0.11514945030212402</c:v>
                </c:pt>
                <c:pt idx="136">
                  <c:v>0.11499464035034179</c:v>
                </c:pt>
                <c:pt idx="137">
                  <c:v>0.11499464035034179</c:v>
                </c:pt>
                <c:pt idx="138">
                  <c:v>0.11499464035034179</c:v>
                </c:pt>
                <c:pt idx="139">
                  <c:v>0.11757205009460449</c:v>
                </c:pt>
                <c:pt idx="140">
                  <c:v>0.11749464035034179</c:v>
                </c:pt>
                <c:pt idx="141">
                  <c:v>0.12264945030212403</c:v>
                </c:pt>
                <c:pt idx="142">
                  <c:v>0.1224946403503418</c:v>
                </c:pt>
                <c:pt idx="143">
                  <c:v>0.1224946403503418</c:v>
                </c:pt>
                <c:pt idx="144">
                  <c:v>0.1224946403503418</c:v>
                </c:pt>
                <c:pt idx="145">
                  <c:v>0.1224946403503418</c:v>
                </c:pt>
                <c:pt idx="146">
                  <c:v>0.12764945030212402</c:v>
                </c:pt>
                <c:pt idx="147">
                  <c:v>0.13264945030212402</c:v>
                </c:pt>
                <c:pt idx="148">
                  <c:v>0.13249464035034181</c:v>
                </c:pt>
                <c:pt idx="149">
                  <c:v>0.13249464035034181</c:v>
                </c:pt>
                <c:pt idx="150">
                  <c:v>0.13249464035034181</c:v>
                </c:pt>
                <c:pt idx="151">
                  <c:v>0.13249464035034181</c:v>
                </c:pt>
                <c:pt idx="152">
                  <c:v>0.13249464035034181</c:v>
                </c:pt>
                <c:pt idx="153">
                  <c:v>0.13249464035034181</c:v>
                </c:pt>
                <c:pt idx="154">
                  <c:v>0.13249464035034181</c:v>
                </c:pt>
                <c:pt idx="155">
                  <c:v>0.13249464035034181</c:v>
                </c:pt>
                <c:pt idx="156">
                  <c:v>0.12476242065429688</c:v>
                </c:pt>
                <c:pt idx="157">
                  <c:v>0.1249946403503418</c:v>
                </c:pt>
                <c:pt idx="158">
                  <c:v>0.1249946403503418</c:v>
                </c:pt>
                <c:pt idx="159">
                  <c:v>0.11468501091003418</c:v>
                </c:pt>
                <c:pt idx="160">
                  <c:v>0.11499464035034179</c:v>
                </c:pt>
                <c:pt idx="161">
                  <c:v>0.10468501091003418</c:v>
                </c:pt>
                <c:pt idx="162">
                  <c:v>0.1049946403503418</c:v>
                </c:pt>
                <c:pt idx="163">
                  <c:v>0.1049946403503418</c:v>
                </c:pt>
                <c:pt idx="164">
                  <c:v>0.1049946403503418</c:v>
                </c:pt>
                <c:pt idx="165">
                  <c:v>0.1049946403503418</c:v>
                </c:pt>
                <c:pt idx="166">
                  <c:v>0.1049946403503418</c:v>
                </c:pt>
                <c:pt idx="167">
                  <c:v>0.1049946403503418</c:v>
                </c:pt>
                <c:pt idx="168">
                  <c:v>0.1049946403503418</c:v>
                </c:pt>
                <c:pt idx="169">
                  <c:v>0.1049946403503418</c:v>
                </c:pt>
                <c:pt idx="170">
                  <c:v>0.1049946403503418</c:v>
                </c:pt>
                <c:pt idx="171">
                  <c:v>0.1049946403503418</c:v>
                </c:pt>
                <c:pt idx="172">
                  <c:v>0.1049946403503418</c:v>
                </c:pt>
                <c:pt idx="173">
                  <c:v>0.1049946403503418</c:v>
                </c:pt>
                <c:pt idx="174">
                  <c:v>0.12045907974243164</c:v>
                </c:pt>
                <c:pt idx="175">
                  <c:v>0.1199946403503418</c:v>
                </c:pt>
                <c:pt idx="176">
                  <c:v>0.1199946403503418</c:v>
                </c:pt>
                <c:pt idx="177">
                  <c:v>0.1199946403503418</c:v>
                </c:pt>
                <c:pt idx="178">
                  <c:v>0.1199946403503418</c:v>
                </c:pt>
                <c:pt idx="179">
                  <c:v>0.1199946403503418</c:v>
                </c:pt>
                <c:pt idx="180">
                  <c:v>0.13030426979064941</c:v>
                </c:pt>
                <c:pt idx="181">
                  <c:v>0.12999464035034181</c:v>
                </c:pt>
                <c:pt idx="182">
                  <c:v>0.12999464035034181</c:v>
                </c:pt>
                <c:pt idx="183">
                  <c:v>0.12999464035034181</c:v>
                </c:pt>
                <c:pt idx="184">
                  <c:v>0.12999464035034181</c:v>
                </c:pt>
                <c:pt idx="185">
                  <c:v>0.12999464035034181</c:v>
                </c:pt>
                <c:pt idx="186">
                  <c:v>0.12999464035034181</c:v>
                </c:pt>
                <c:pt idx="187">
                  <c:v>0.12999464035034181</c:v>
                </c:pt>
                <c:pt idx="188">
                  <c:v>0.12999464035034181</c:v>
                </c:pt>
                <c:pt idx="189">
                  <c:v>0.12999464035034181</c:v>
                </c:pt>
                <c:pt idx="190">
                  <c:v>0.12999464035034181</c:v>
                </c:pt>
                <c:pt idx="191">
                  <c:v>0.12999464035034181</c:v>
                </c:pt>
                <c:pt idx="192">
                  <c:v>0.11968501091003418</c:v>
                </c:pt>
                <c:pt idx="193">
                  <c:v>0.1199946403503418</c:v>
                </c:pt>
                <c:pt idx="194">
                  <c:v>0.1199946403503418</c:v>
                </c:pt>
                <c:pt idx="195">
                  <c:v>0.1199946403503418</c:v>
                </c:pt>
                <c:pt idx="196">
                  <c:v>0.10453020095825195</c:v>
                </c:pt>
                <c:pt idx="197">
                  <c:v>0.1049946403503418</c:v>
                </c:pt>
                <c:pt idx="198">
                  <c:v>0.1049946403503418</c:v>
                </c:pt>
                <c:pt idx="199">
                  <c:v>0.1513879680633545</c:v>
                </c:pt>
                <c:pt idx="200">
                  <c:v>0.1499946403503418</c:v>
                </c:pt>
                <c:pt idx="201">
                  <c:v>0.1499946403503418</c:v>
                </c:pt>
                <c:pt idx="202">
                  <c:v>0.1499946403503418</c:v>
                </c:pt>
                <c:pt idx="203">
                  <c:v>0.13968501091003419</c:v>
                </c:pt>
                <c:pt idx="204">
                  <c:v>0.13999464035034179</c:v>
                </c:pt>
                <c:pt idx="205">
                  <c:v>0.13999464035034179</c:v>
                </c:pt>
                <c:pt idx="206">
                  <c:v>0.13999464035034179</c:v>
                </c:pt>
                <c:pt idx="207">
                  <c:v>0.13999464035034179</c:v>
                </c:pt>
                <c:pt idx="208">
                  <c:v>0.13999464035034179</c:v>
                </c:pt>
                <c:pt idx="209">
                  <c:v>0.11937538146972657</c:v>
                </c:pt>
                <c:pt idx="210">
                  <c:v>0.1199946403503418</c:v>
                </c:pt>
                <c:pt idx="211">
                  <c:v>0.1199946403503418</c:v>
                </c:pt>
                <c:pt idx="212">
                  <c:v>0.1199946403503418</c:v>
                </c:pt>
                <c:pt idx="213">
                  <c:v>0.1199946403503418</c:v>
                </c:pt>
                <c:pt idx="214">
                  <c:v>0.1199946403503418</c:v>
                </c:pt>
                <c:pt idx="215">
                  <c:v>0.10968501091003419</c:v>
                </c:pt>
                <c:pt idx="216">
                  <c:v>0.1099946403503418</c:v>
                </c:pt>
                <c:pt idx="217">
                  <c:v>0.1099946403503418</c:v>
                </c:pt>
                <c:pt idx="218">
                  <c:v>9.9685010910034177E-2</c:v>
                </c:pt>
                <c:pt idx="219">
                  <c:v>9.9994640350341793E-2</c:v>
                </c:pt>
                <c:pt idx="220">
                  <c:v>9.9994640350341793E-2</c:v>
                </c:pt>
                <c:pt idx="221">
                  <c:v>9.9994640350341793E-2</c:v>
                </c:pt>
                <c:pt idx="222">
                  <c:v>9.9994640350341793E-2</c:v>
                </c:pt>
                <c:pt idx="223">
                  <c:v>9.9994640350341793E-2</c:v>
                </c:pt>
                <c:pt idx="224">
                  <c:v>9.9994640350341793E-2</c:v>
                </c:pt>
                <c:pt idx="225">
                  <c:v>9.9994640350341793E-2</c:v>
                </c:pt>
                <c:pt idx="226">
                  <c:v>0.11030426979064942</c:v>
                </c:pt>
                <c:pt idx="227">
                  <c:v>0.1099946403503418</c:v>
                </c:pt>
                <c:pt idx="228">
                  <c:v>0.1099946403503418</c:v>
                </c:pt>
                <c:pt idx="229">
                  <c:v>0.1099946403503418</c:v>
                </c:pt>
                <c:pt idx="230">
                  <c:v>0.1099946403503418</c:v>
                </c:pt>
                <c:pt idx="231">
                  <c:v>0.1099946403503418</c:v>
                </c:pt>
                <c:pt idx="232">
                  <c:v>0.1099946403503418</c:v>
                </c:pt>
                <c:pt idx="233">
                  <c:v>0.1099946403503418</c:v>
                </c:pt>
                <c:pt idx="234">
                  <c:v>0.1099946403503418</c:v>
                </c:pt>
                <c:pt idx="235">
                  <c:v>0.1099946403503418</c:v>
                </c:pt>
                <c:pt idx="236">
                  <c:v>0.1099946403503418</c:v>
                </c:pt>
                <c:pt idx="237">
                  <c:v>0.1099946403503418</c:v>
                </c:pt>
                <c:pt idx="238">
                  <c:v>0.1099946403503418</c:v>
                </c:pt>
                <c:pt idx="239">
                  <c:v>0.1099946403503418</c:v>
                </c:pt>
                <c:pt idx="240">
                  <c:v>0.1099946403503418</c:v>
                </c:pt>
                <c:pt idx="241">
                  <c:v>0.1099946403503418</c:v>
                </c:pt>
                <c:pt idx="242">
                  <c:v>9.9685010910034177E-2</c:v>
                </c:pt>
                <c:pt idx="243">
                  <c:v>8.9685010910034182E-2</c:v>
                </c:pt>
                <c:pt idx="244">
                  <c:v>8.9994640350341798E-2</c:v>
                </c:pt>
                <c:pt idx="245">
                  <c:v>8.9994640350341798E-2</c:v>
                </c:pt>
                <c:pt idx="246">
                  <c:v>8.9994640350341798E-2</c:v>
                </c:pt>
                <c:pt idx="247">
                  <c:v>8.9994640350341798E-2</c:v>
                </c:pt>
                <c:pt idx="248">
                  <c:v>7.9685010910034174E-2</c:v>
                </c:pt>
                <c:pt idx="249">
                  <c:v>7.9994640350341803E-2</c:v>
                </c:pt>
                <c:pt idx="250">
                  <c:v>5.9375386238098148E-2</c:v>
                </c:pt>
                <c:pt idx="251">
                  <c:v>5.9994640350341799E-2</c:v>
                </c:pt>
                <c:pt idx="252">
                  <c:v>5.9994640350341799E-2</c:v>
                </c:pt>
                <c:pt idx="253">
                  <c:v>5.9994640350341799E-2</c:v>
                </c:pt>
                <c:pt idx="254">
                  <c:v>5.9994640350341799E-2</c:v>
                </c:pt>
                <c:pt idx="255">
                  <c:v>5.9994640350341799E-2</c:v>
                </c:pt>
                <c:pt idx="256">
                  <c:v>5.9994640350341799E-2</c:v>
                </c:pt>
                <c:pt idx="257">
                  <c:v>5.9994640350341799E-2</c:v>
                </c:pt>
                <c:pt idx="258">
                  <c:v>5.9994640350341799E-2</c:v>
                </c:pt>
                <c:pt idx="259">
                  <c:v>5.9994640350341799E-2</c:v>
                </c:pt>
                <c:pt idx="260">
                  <c:v>5.9994640350341799E-2</c:v>
                </c:pt>
                <c:pt idx="261">
                  <c:v>5.9994640350341799E-2</c:v>
                </c:pt>
                <c:pt idx="262">
                  <c:v>5.9994640350341799E-2</c:v>
                </c:pt>
                <c:pt idx="263">
                  <c:v>5.9994640350341799E-2</c:v>
                </c:pt>
                <c:pt idx="264">
                  <c:v>6.5149455070495604E-2</c:v>
                </c:pt>
                <c:pt idx="265">
                  <c:v>6.4994640350341804E-2</c:v>
                </c:pt>
                <c:pt idx="266">
                  <c:v>9.0768709182739257E-2</c:v>
                </c:pt>
                <c:pt idx="267">
                  <c:v>8.9994640350341798E-2</c:v>
                </c:pt>
                <c:pt idx="268">
                  <c:v>8.9994640350341798E-2</c:v>
                </c:pt>
                <c:pt idx="269">
                  <c:v>0.10030426979064941</c:v>
                </c:pt>
                <c:pt idx="270">
                  <c:v>9.9994640350341793E-2</c:v>
                </c:pt>
                <c:pt idx="271">
                  <c:v>9.9994640350341793E-2</c:v>
                </c:pt>
                <c:pt idx="272">
                  <c:v>0.12061389923095703</c:v>
                </c:pt>
                <c:pt idx="273">
                  <c:v>0.1199946403503418</c:v>
                </c:pt>
                <c:pt idx="274">
                  <c:v>0.1199946403503418</c:v>
                </c:pt>
                <c:pt idx="275">
                  <c:v>0.13030426979064941</c:v>
                </c:pt>
                <c:pt idx="276">
                  <c:v>0.12999464035034181</c:v>
                </c:pt>
                <c:pt idx="277">
                  <c:v>0.12999464035034181</c:v>
                </c:pt>
                <c:pt idx="278">
                  <c:v>0.12999464035034181</c:v>
                </c:pt>
                <c:pt idx="279">
                  <c:v>0.12999464035034181</c:v>
                </c:pt>
                <c:pt idx="280">
                  <c:v>0.12999464035034181</c:v>
                </c:pt>
                <c:pt idx="281">
                  <c:v>0.12999464035034181</c:v>
                </c:pt>
                <c:pt idx="282">
                  <c:v>0.12999464035034181</c:v>
                </c:pt>
                <c:pt idx="283">
                  <c:v>0.12999464035034181</c:v>
                </c:pt>
                <c:pt idx="284">
                  <c:v>0.12999464035034181</c:v>
                </c:pt>
                <c:pt idx="285">
                  <c:v>0.12999464035034181</c:v>
                </c:pt>
                <c:pt idx="286">
                  <c:v>0.12999464035034181</c:v>
                </c:pt>
                <c:pt idx="287">
                  <c:v>0.12999464035034181</c:v>
                </c:pt>
                <c:pt idx="288">
                  <c:v>0.12999464035034181</c:v>
                </c:pt>
                <c:pt idx="289">
                  <c:v>0.12999464035034181</c:v>
                </c:pt>
                <c:pt idx="290">
                  <c:v>0.11968501091003418</c:v>
                </c:pt>
                <c:pt idx="291">
                  <c:v>0.1199946403503418</c:v>
                </c:pt>
                <c:pt idx="292">
                  <c:v>0.10968501091003419</c:v>
                </c:pt>
                <c:pt idx="293">
                  <c:v>0.1099946403503418</c:v>
                </c:pt>
                <c:pt idx="294">
                  <c:v>0.1099946403503418</c:v>
                </c:pt>
                <c:pt idx="295">
                  <c:v>0.1099946403503418</c:v>
                </c:pt>
                <c:pt idx="296">
                  <c:v>9.9685010910034177E-2</c:v>
                </c:pt>
                <c:pt idx="297">
                  <c:v>9.9994640350341793E-2</c:v>
                </c:pt>
                <c:pt idx="298">
                  <c:v>9.9994640350341793E-2</c:v>
                </c:pt>
                <c:pt idx="299">
                  <c:v>9.9994640350341793E-2</c:v>
                </c:pt>
                <c:pt idx="300">
                  <c:v>9.9994640350341793E-2</c:v>
                </c:pt>
                <c:pt idx="301">
                  <c:v>9.9994640350341793E-2</c:v>
                </c:pt>
                <c:pt idx="302">
                  <c:v>0.12061389923095703</c:v>
                </c:pt>
                <c:pt idx="303">
                  <c:v>0.1199946403503418</c:v>
                </c:pt>
                <c:pt idx="304">
                  <c:v>0.1199946403503418</c:v>
                </c:pt>
                <c:pt idx="305">
                  <c:v>0.1199946403503418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92-4652-AD95-8DA5069F7F8B}"/>
            </c:ext>
          </c:extLst>
        </c:ser>
        <c:ser>
          <c:idx val="5"/>
          <c:order val="5"/>
          <c:tx>
            <c:strRef>
              <c:f>Month!$R$2</c:f>
              <c:strCache>
                <c:ptCount val="1"/>
                <c:pt idx="0">
                  <c:v>BP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Month!$R$3:$R$314</c:f>
              <c:numCache>
                <c:formatCode>0.0%</c:formatCode>
                <c:ptCount val="312"/>
                <c:pt idx="96">
                  <c:v>9.2984952926635736E-2</c:v>
                </c:pt>
                <c:pt idx="97">
                  <c:v>9.2681226730346677E-2</c:v>
                </c:pt>
                <c:pt idx="98">
                  <c:v>0.10551814079284667</c:v>
                </c:pt>
                <c:pt idx="99">
                  <c:v>0.10445265769958496</c:v>
                </c:pt>
                <c:pt idx="100">
                  <c:v>0.10297095298767089</c:v>
                </c:pt>
                <c:pt idx="101">
                  <c:v>0.10109321594238281</c:v>
                </c:pt>
                <c:pt idx="102">
                  <c:v>9.88754940032959E-2</c:v>
                </c:pt>
                <c:pt idx="103">
                  <c:v>9.6408042907714847E-2</c:v>
                </c:pt>
                <c:pt idx="104">
                  <c:v>9.8810281753540036E-2</c:v>
                </c:pt>
                <c:pt idx="105">
                  <c:v>9.6222639083862305E-2</c:v>
                </c:pt>
                <c:pt idx="106">
                  <c:v>8.8795890808105474E-2</c:v>
                </c:pt>
                <c:pt idx="107">
                  <c:v>8.6679039001464842E-2</c:v>
                </c:pt>
                <c:pt idx="108">
                  <c:v>8.50067138671875E-2</c:v>
                </c:pt>
                <c:pt idx="109">
                  <c:v>8.3887310028076173E-2</c:v>
                </c:pt>
                <c:pt idx="110">
                  <c:v>0.12589318275451661</c:v>
                </c:pt>
                <c:pt idx="111">
                  <c:v>0.12605362892150879</c:v>
                </c:pt>
                <c:pt idx="112">
                  <c:v>0.11435159683227539</c:v>
                </c:pt>
                <c:pt idx="113">
                  <c:v>0.10322443962097168</c:v>
                </c:pt>
                <c:pt idx="114">
                  <c:v>0.10506864547729493</c:v>
                </c:pt>
                <c:pt idx="115">
                  <c:v>0.10724830627441406</c:v>
                </c:pt>
                <c:pt idx="116">
                  <c:v>9.4606361389160162E-2</c:v>
                </c:pt>
                <c:pt idx="117">
                  <c:v>9.6977796554565426E-2</c:v>
                </c:pt>
                <c:pt idx="118">
                  <c:v>9.9203348159790039E-2</c:v>
                </c:pt>
                <c:pt idx="119">
                  <c:v>0.10114264488220215</c:v>
                </c:pt>
                <c:pt idx="120">
                  <c:v>0.1026853370666504</c:v>
                </c:pt>
                <c:pt idx="121">
                  <c:v>0.10375935554504395</c:v>
                </c:pt>
                <c:pt idx="122">
                  <c:v>0.10433539390563965</c:v>
                </c:pt>
                <c:pt idx="123">
                  <c:v>0.10442740440368653</c:v>
                </c:pt>
                <c:pt idx="124">
                  <c:v>0.11408897399902344</c:v>
                </c:pt>
                <c:pt idx="125">
                  <c:v>0.11340605735778808</c:v>
                </c:pt>
                <c:pt idx="126">
                  <c:v>0.11248687744140624</c:v>
                </c:pt>
                <c:pt idx="127">
                  <c:v>0.11145003318786621</c:v>
                </c:pt>
                <c:pt idx="128">
                  <c:v>0.11041197776794434</c:v>
                </c:pt>
                <c:pt idx="129">
                  <c:v>0.10947513580322266</c:v>
                </c:pt>
                <c:pt idx="130">
                  <c:v>0.10871798515319825</c:v>
                </c:pt>
                <c:pt idx="131">
                  <c:v>0.10818777084350586</c:v>
                </c:pt>
                <c:pt idx="132">
                  <c:v>0.10789686203002929</c:v>
                </c:pt>
                <c:pt idx="133">
                  <c:v>0.10782275199890137</c:v>
                </c:pt>
                <c:pt idx="134">
                  <c:v>0.1079118537902832</c:v>
                </c:pt>
                <c:pt idx="135">
                  <c:v>0.11308651924133301</c:v>
                </c:pt>
                <c:pt idx="136">
                  <c:v>0.11325445175170898</c:v>
                </c:pt>
                <c:pt idx="137">
                  <c:v>0.11331968307495117</c:v>
                </c:pt>
                <c:pt idx="138">
                  <c:v>0.11319380760192871</c:v>
                </c:pt>
                <c:pt idx="139">
                  <c:v>0.11530635833740234</c:v>
                </c:pt>
                <c:pt idx="140">
                  <c:v>0.11461335182189941</c:v>
                </c:pt>
                <c:pt idx="141">
                  <c:v>0.11860311508178711</c:v>
                </c:pt>
                <c:pt idx="142">
                  <c:v>0.11729889869689941</c:v>
                </c:pt>
                <c:pt idx="143">
                  <c:v>0.11575796127319336</c:v>
                </c:pt>
                <c:pt idx="144">
                  <c:v>0.11406745910644531</c:v>
                </c:pt>
                <c:pt idx="145">
                  <c:v>0.1123375129699707</c:v>
                </c:pt>
                <c:pt idx="146">
                  <c:v>0.11569209098815918</c:v>
                </c:pt>
                <c:pt idx="147">
                  <c:v>0.11925884246826172</c:v>
                </c:pt>
                <c:pt idx="148">
                  <c:v>0.1181587028503418</c:v>
                </c:pt>
                <c:pt idx="149">
                  <c:v>0.11749628067016601</c:v>
                </c:pt>
                <c:pt idx="150">
                  <c:v>0.1173519515991211</c:v>
                </c:pt>
                <c:pt idx="151">
                  <c:v>0.11777613639831543</c:v>
                </c:pt>
                <c:pt idx="152">
                  <c:v>0.11878639221191406</c:v>
                </c:pt>
                <c:pt idx="153">
                  <c:v>0.12036707878112793</c:v>
                </c:pt>
                <c:pt idx="154">
                  <c:v>0.12247181892395019</c:v>
                </c:pt>
                <c:pt idx="155">
                  <c:v>0.1250279140472412</c:v>
                </c:pt>
                <c:pt idx="156">
                  <c:v>0.120442476272583</c:v>
                </c:pt>
                <c:pt idx="157">
                  <c:v>0.12360932350158692</c:v>
                </c:pt>
                <c:pt idx="158">
                  <c:v>0.12691599845886231</c:v>
                </c:pt>
                <c:pt idx="159">
                  <c:v>0.12025031089782715</c:v>
                </c:pt>
                <c:pt idx="160">
                  <c:v>0.12350579261779786</c:v>
                </c:pt>
                <c:pt idx="161">
                  <c:v>0.11658576011657715</c:v>
                </c:pt>
                <c:pt idx="162">
                  <c:v>0.11940591812133788</c:v>
                </c:pt>
                <c:pt idx="163">
                  <c:v>0.12189549446105957</c:v>
                </c:pt>
                <c:pt idx="164">
                  <c:v>0.12399720191955567</c:v>
                </c:pt>
                <c:pt idx="165">
                  <c:v>0.12566649436950683</c:v>
                </c:pt>
                <c:pt idx="166">
                  <c:v>0.12687036514282227</c:v>
                </c:pt>
                <c:pt idx="167">
                  <c:v>0.12758639335632324</c:v>
                </c:pt>
                <c:pt idx="168">
                  <c:v>0.12780210494995117</c:v>
                </c:pt>
                <c:pt idx="169">
                  <c:v>0.12751519203186035</c:v>
                </c:pt>
                <c:pt idx="170">
                  <c:v>0.12673428535461426</c:v>
                </c:pt>
                <c:pt idx="171">
                  <c:v>0.12548052787780761</c:v>
                </c:pt>
                <c:pt idx="172">
                  <c:v>0.12378937721252442</c:v>
                </c:pt>
                <c:pt idx="173">
                  <c:v>0.12171231269836426</c:v>
                </c:pt>
                <c:pt idx="174">
                  <c:v>0.13431801795959472</c:v>
                </c:pt>
                <c:pt idx="175">
                  <c:v>0.13169246673583984</c:v>
                </c:pt>
                <c:pt idx="176">
                  <c:v>0.12893747329711913</c:v>
                </c:pt>
                <c:pt idx="177">
                  <c:v>0.12616752624511718</c:v>
                </c:pt>
                <c:pt idx="178">
                  <c:v>0.1235047721862793</c:v>
                </c:pt>
                <c:pt idx="179">
                  <c:v>0.12107234001159668</c:v>
                </c:pt>
                <c:pt idx="180">
                  <c:v>0.12898627281188965</c:v>
                </c:pt>
                <c:pt idx="181">
                  <c:v>0.12734694480895997</c:v>
                </c:pt>
                <c:pt idx="182">
                  <c:v>0.12623039245605469</c:v>
                </c:pt>
                <c:pt idx="183">
                  <c:v>0.12568069458007813</c:v>
                </c:pt>
                <c:pt idx="184">
                  <c:v>0.12570411682128907</c:v>
                </c:pt>
                <c:pt idx="185">
                  <c:v>0.12626578330993651</c:v>
                </c:pt>
                <c:pt idx="186">
                  <c:v>0.1272894859313965</c:v>
                </c:pt>
                <c:pt idx="187">
                  <c:v>0.1286609649658203</c:v>
                </c:pt>
                <c:pt idx="188">
                  <c:v>0.1302345085144043</c:v>
                </c:pt>
                <c:pt idx="189">
                  <c:v>0.13184277534484865</c:v>
                </c:pt>
                <c:pt idx="190">
                  <c:v>0.13330895423889161</c:v>
                </c:pt>
                <c:pt idx="191">
                  <c:v>0.13446048736572266</c:v>
                </c:pt>
                <c:pt idx="192">
                  <c:v>0.12514312744140624</c:v>
                </c:pt>
                <c:pt idx="193">
                  <c:v>0.1252342414855957</c:v>
                </c:pt>
                <c:pt idx="194">
                  <c:v>0.12465397834777832</c:v>
                </c:pt>
                <c:pt idx="195">
                  <c:v>0.12337350845336914</c:v>
                </c:pt>
                <c:pt idx="196">
                  <c:v>0.10641920089721679</c:v>
                </c:pt>
                <c:pt idx="197">
                  <c:v>0.10387250900268555</c:v>
                </c:pt>
                <c:pt idx="198">
                  <c:v>0.10086532592773438</c:v>
                </c:pt>
                <c:pt idx="199">
                  <c:v>0.1425710678100586</c:v>
                </c:pt>
                <c:pt idx="200">
                  <c:v>0.13919231414794922</c:v>
                </c:pt>
                <c:pt idx="201">
                  <c:v>0.13594572067260743</c:v>
                </c:pt>
                <c:pt idx="202">
                  <c:v>0.13304573059082031</c:v>
                </c:pt>
                <c:pt idx="203">
                  <c:v>0.12068825721740722</c:v>
                </c:pt>
                <c:pt idx="204">
                  <c:v>0.11903569221496582</c:v>
                </c:pt>
                <c:pt idx="205">
                  <c:v>0.11820464134216309</c:v>
                </c:pt>
                <c:pt idx="206">
                  <c:v>0.11825713157653808</c:v>
                </c:pt>
                <c:pt idx="207">
                  <c:v>0.11919631958007812</c:v>
                </c:pt>
                <c:pt idx="208">
                  <c:v>0.12096664428710938</c:v>
                </c:pt>
                <c:pt idx="209">
                  <c:v>0.10345864295959473</c:v>
                </c:pt>
                <c:pt idx="210">
                  <c:v>0.1065177059173584</c:v>
                </c:pt>
                <c:pt idx="211">
                  <c:v>0.10995616912841796</c:v>
                </c:pt>
                <c:pt idx="212">
                  <c:v>0.11356748580932617</c:v>
                </c:pt>
                <c:pt idx="213">
                  <c:v>0.11714132308959961</c:v>
                </c:pt>
                <c:pt idx="214">
                  <c:v>0.12047834396362304</c:v>
                </c:pt>
                <c:pt idx="215">
                  <c:v>0.1134034538269043</c:v>
                </c:pt>
                <c:pt idx="216">
                  <c:v>0.11577651023864746</c:v>
                </c:pt>
                <c:pt idx="217">
                  <c:v>0.11749969482421875</c:v>
                </c:pt>
                <c:pt idx="218">
                  <c:v>0.10852130889892578</c:v>
                </c:pt>
                <c:pt idx="219">
                  <c:v>0.10883563041687011</c:v>
                </c:pt>
                <c:pt idx="220">
                  <c:v>0.10847944259643555</c:v>
                </c:pt>
                <c:pt idx="221">
                  <c:v>0.10752544403076172</c:v>
                </c:pt>
                <c:pt idx="222">
                  <c:v>0.10607362747192382</c:v>
                </c:pt>
                <c:pt idx="223">
                  <c:v>0.10424135208129882</c:v>
                </c:pt>
                <c:pt idx="224">
                  <c:v>0.10215317726135253</c:v>
                </c:pt>
                <c:pt idx="225">
                  <c:v>9.9931354522705074E-2</c:v>
                </c:pt>
                <c:pt idx="226">
                  <c:v>0.1076878547668457</c:v>
                </c:pt>
                <c:pt idx="227">
                  <c:v>0.10551833152770997</c:v>
                </c:pt>
                <c:pt idx="228">
                  <c:v>0.10349853515625</c:v>
                </c:pt>
                <c:pt idx="229">
                  <c:v>0.10168326377868653</c:v>
                </c:pt>
                <c:pt idx="230">
                  <c:v>0.10010749816894532</c:v>
                </c:pt>
                <c:pt idx="231">
                  <c:v>9.8789520263671882E-2</c:v>
                </c:pt>
                <c:pt idx="232">
                  <c:v>9.7735328674316405E-2</c:v>
                </c:pt>
                <c:pt idx="233">
                  <c:v>9.6943731307983394E-2</c:v>
                </c:pt>
                <c:pt idx="234">
                  <c:v>9.6411428451538092E-2</c:v>
                </c:pt>
                <c:pt idx="235">
                  <c:v>9.6137475967407224E-2</c:v>
                </c:pt>
                <c:pt idx="236">
                  <c:v>9.6126499176025393E-2</c:v>
                </c:pt>
                <c:pt idx="237">
                  <c:v>9.6390476226806646E-2</c:v>
                </c:pt>
                <c:pt idx="238">
                  <c:v>9.6948738098144527E-2</c:v>
                </c:pt>
                <c:pt idx="239">
                  <c:v>9.782633781433106E-2</c:v>
                </c:pt>
                <c:pt idx="240">
                  <c:v>9.905096054077149E-2</c:v>
                </c:pt>
                <c:pt idx="241">
                  <c:v>0.10064874649047852</c:v>
                </c:pt>
                <c:pt idx="242">
                  <c:v>9.2639579772949218E-2</c:v>
                </c:pt>
                <c:pt idx="243">
                  <c:v>8.5032215118408208E-2</c:v>
                </c:pt>
                <c:pt idx="244">
                  <c:v>8.7820043563842778E-2</c:v>
                </c:pt>
                <c:pt idx="245">
                  <c:v>9.0977725982666013E-2</c:v>
                </c:pt>
                <c:pt idx="246">
                  <c:v>9.4459247589111325E-2</c:v>
                </c:pt>
                <c:pt idx="247">
                  <c:v>9.819754600524902E-2</c:v>
                </c:pt>
                <c:pt idx="248">
                  <c:v>9.2105875015258784E-2</c:v>
                </c:pt>
                <c:pt idx="249">
                  <c:v>9.6080760955810543E-2</c:v>
                </c:pt>
                <c:pt idx="250">
                  <c:v>8.000636100769043E-2</c:v>
                </c:pt>
                <c:pt idx="251">
                  <c:v>8.3759889602661133E-2</c:v>
                </c:pt>
                <c:pt idx="252">
                  <c:v>8.7217731475830076E-2</c:v>
                </c:pt>
                <c:pt idx="253">
                  <c:v>9.0261659622192389E-2</c:v>
                </c:pt>
                <c:pt idx="254">
                  <c:v>9.2784805297851561E-2</c:v>
                </c:pt>
                <c:pt idx="255">
                  <c:v>9.469686508178711E-2</c:v>
                </c:pt>
                <c:pt idx="256">
                  <c:v>9.5928344726562503E-2</c:v>
                </c:pt>
                <c:pt idx="257">
                  <c:v>9.6433343887329104E-2</c:v>
                </c:pt>
                <c:pt idx="258">
                  <c:v>9.6191053390502934E-2</c:v>
                </c:pt>
                <c:pt idx="259">
                  <c:v>9.5205678939819335E-2</c:v>
                </c:pt>
                <c:pt idx="260">
                  <c:v>9.3505115509033204E-2</c:v>
                </c:pt>
                <c:pt idx="261">
                  <c:v>9.1138401031494135E-2</c:v>
                </c:pt>
                <c:pt idx="262">
                  <c:v>8.8172349929809574E-2</c:v>
                </c:pt>
                <c:pt idx="263">
                  <c:v>8.4687604904174804E-2</c:v>
                </c:pt>
                <c:pt idx="264">
                  <c:v>8.5774440765380863E-2</c:v>
                </c:pt>
                <c:pt idx="265">
                  <c:v>8.1528673171997065E-2</c:v>
                </c:pt>
                <c:pt idx="266">
                  <c:v>0.10204782485961914</c:v>
                </c:pt>
                <c:pt idx="267">
                  <c:v>9.7427988052368159E-2</c:v>
                </c:pt>
                <c:pt idx="268">
                  <c:v>9.2761211395263665E-2</c:v>
                </c:pt>
                <c:pt idx="269">
                  <c:v>9.813380241394043E-2</c:v>
                </c:pt>
                <c:pt idx="270">
                  <c:v>9.3625202178955078E-2</c:v>
                </c:pt>
                <c:pt idx="271">
                  <c:v>8.9307689666748041E-2</c:v>
                </c:pt>
                <c:pt idx="272">
                  <c:v>0.10524641990661621</c:v>
                </c:pt>
                <c:pt idx="273">
                  <c:v>0.10149998664855957</c:v>
                </c:pt>
                <c:pt idx="274">
                  <c:v>9.81209945678711E-2</c:v>
                </c:pt>
                <c:pt idx="275">
                  <c:v>0.10515668869018555</c:v>
                </c:pt>
                <c:pt idx="276">
                  <c:v>0.10264933586120606</c:v>
                </c:pt>
                <c:pt idx="277">
                  <c:v>0.10063626289367676</c:v>
                </c:pt>
                <c:pt idx="278">
                  <c:v>9.9149465560913086E-2</c:v>
                </c:pt>
                <c:pt idx="279">
                  <c:v>9.8214778900146488E-2</c:v>
                </c:pt>
                <c:pt idx="280">
                  <c:v>9.7850608825683597E-2</c:v>
                </c:pt>
                <c:pt idx="281">
                  <c:v>9.8066310882568355E-2</c:v>
                </c:pt>
                <c:pt idx="282">
                  <c:v>9.8860406875610346E-2</c:v>
                </c:pt>
                <c:pt idx="283">
                  <c:v>0.10021879196166993</c:v>
                </c:pt>
                <c:pt idx="284">
                  <c:v>0.10211309432983398</c:v>
                </c:pt>
                <c:pt idx="285">
                  <c:v>0.10449958801269531</c:v>
                </c:pt>
                <c:pt idx="286">
                  <c:v>0.10731865882873536</c:v>
                </c:pt>
                <c:pt idx="287">
                  <c:v>0.11049509048461914</c:v>
                </c:pt>
                <c:pt idx="288">
                  <c:v>0.11393937110900879</c:v>
                </c:pt>
                <c:pt idx="289">
                  <c:v>0.11755001068115234</c:v>
                </c:pt>
                <c:pt idx="290">
                  <c:v>0.11121679306030273</c:v>
                </c:pt>
                <c:pt idx="291">
                  <c:v>0.11482503890991211</c:v>
                </c:pt>
                <c:pt idx="292">
                  <c:v>0.108260498046875</c:v>
                </c:pt>
                <c:pt idx="293">
                  <c:v>0.11141472816467285</c:v>
                </c:pt>
                <c:pt idx="294">
                  <c:v>0.11419058799743652</c:v>
                </c:pt>
                <c:pt idx="295">
                  <c:v>0.11650746345520019</c:v>
                </c:pt>
                <c:pt idx="296">
                  <c:v>0.1083059024810791</c:v>
                </c:pt>
                <c:pt idx="297">
                  <c:v>0.1095511245727539</c:v>
                </c:pt>
                <c:pt idx="298">
                  <c:v>0.11023535728454589</c:v>
                </c:pt>
                <c:pt idx="299">
                  <c:v>0.11037849426269532</c:v>
                </c:pt>
                <c:pt idx="300">
                  <c:v>0.11002707481384277</c:v>
                </c:pt>
                <c:pt idx="301">
                  <c:v>0.10925156593322755</c:v>
                </c:pt>
                <c:pt idx="302">
                  <c:v>0.12814205169677734</c:v>
                </c:pt>
                <c:pt idx="303">
                  <c:v>0.12680255889892578</c:v>
                </c:pt>
                <c:pt idx="304">
                  <c:v>0.12534441947937011</c:v>
                </c:pt>
                <c:pt idx="305">
                  <c:v>0.12387909889221191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92-4652-AD95-8DA5069F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046416"/>
        <c:axId val="516046896"/>
      </c:lineChart>
      <c:catAx>
        <c:axId val="5160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896"/>
        <c:crosses val="autoZero"/>
        <c:auto val="1"/>
        <c:lblAlgn val="ctr"/>
        <c:lblOffset val="100"/>
        <c:noMultiLvlLbl val="0"/>
      </c:catAx>
      <c:valAx>
        <c:axId val="516046896"/>
        <c:scaling>
          <c:orientation val="minMax"/>
          <c:max val="0.16000000000000003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 w="127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Core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Month!$W$2</c:f>
              <c:strCache>
                <c:ptCount val="1"/>
                <c:pt idx="0">
                  <c:v>National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Month!$W$3:$W$314</c:f>
              <c:numCache>
                <c:formatCode>General</c:formatCode>
                <c:ptCount val="312"/>
                <c:pt idx="83" formatCode="0.0">
                  <c:v>6.1608960780810094</c:v>
                </c:pt>
                <c:pt idx="84" formatCode="0.0">
                  <c:v>5.2316374441428053</c:v>
                </c:pt>
                <c:pt idx="85" formatCode="0.0">
                  <c:v>6.3979226380201908</c:v>
                </c:pt>
                <c:pt idx="86" formatCode="0.0">
                  <c:v>7.2069844073311629</c:v>
                </c:pt>
                <c:pt idx="87" formatCode="0.0">
                  <c:v>6.0159704517909205</c:v>
                </c:pt>
                <c:pt idx="88" formatCode="0.0">
                  <c:v>5.652699701980012</c:v>
                </c:pt>
                <c:pt idx="89" formatCode="0.0">
                  <c:v>5.9281567035731229</c:v>
                </c:pt>
                <c:pt idx="90" formatCode="0.0">
                  <c:v>6.4312397356556232</c:v>
                </c:pt>
                <c:pt idx="91" formatCode="0.0">
                  <c:v>10.751622022903547</c:v>
                </c:pt>
                <c:pt idx="92" formatCode="0.0">
                  <c:v>12.572631398652888</c:v>
                </c:pt>
                <c:pt idx="93" formatCode="0.0">
                  <c:v>14.701124071372902</c:v>
                </c:pt>
                <c:pt idx="94" formatCode="0.0">
                  <c:v>16.707622628131418</c:v>
                </c:pt>
                <c:pt idx="95" formatCode="0.0">
                  <c:v>17.767749614155719</c:v>
                </c:pt>
                <c:pt idx="96" formatCode="0.0">
                  <c:v>19.933115570769544</c:v>
                </c:pt>
                <c:pt idx="97" formatCode="0.0">
                  <c:v>21.025559864655932</c:v>
                </c:pt>
                <c:pt idx="98" formatCode="0.0">
                  <c:v>24.041709126716569</c:v>
                </c:pt>
                <c:pt idx="99" formatCode="0.0">
                  <c:v>29.39857441013794</c:v>
                </c:pt>
                <c:pt idx="100" formatCode="0.0">
                  <c:v>33.905371625681823</c:v>
                </c:pt>
                <c:pt idx="101">
                  <c:v>32.6</c:v>
                </c:pt>
                <c:pt idx="102" formatCode="0.0">
                  <c:v>32</c:v>
                </c:pt>
                <c:pt idx="103">
                  <c:v>34.200000000000003</c:v>
                </c:pt>
                <c:pt idx="104">
                  <c:v>32.200000000000003</c:v>
                </c:pt>
                <c:pt idx="105" formatCode="0.0">
                  <c:v>27.9</c:v>
                </c:pt>
                <c:pt idx="106" formatCode="0.0">
                  <c:v>24.2</c:v>
                </c:pt>
                <c:pt idx="107" formatCode="0.0">
                  <c:v>22.1</c:v>
                </c:pt>
                <c:pt idx="108">
                  <c:v>20.7</c:v>
                </c:pt>
                <c:pt idx="109" formatCode="0.0">
                  <c:v>18.2</c:v>
                </c:pt>
                <c:pt idx="110" formatCode="0.0">
                  <c:v>16.3</c:v>
                </c:pt>
                <c:pt idx="111" formatCode="0.0">
                  <c:v>12.5</c:v>
                </c:pt>
                <c:pt idx="112" formatCode="0.0">
                  <c:v>8</c:v>
                </c:pt>
                <c:pt idx="113" formatCode="0.0">
                  <c:v>6.2642917230043906</c:v>
                </c:pt>
                <c:pt idx="114" formatCode="0.0">
                  <c:v>4.922956517421639</c:v>
                </c:pt>
                <c:pt idx="115" formatCode="0.0">
                  <c:v>0.59349819322564201</c:v>
                </c:pt>
                <c:pt idx="116" formatCode="0.0">
                  <c:v>1.5879303424497948E-2</c:v>
                </c:pt>
                <c:pt idx="117" formatCode="0.0">
                  <c:v>0.84843489270787131</c:v>
                </c:pt>
                <c:pt idx="118" formatCode="0.0">
                  <c:v>3.5314129245284249</c:v>
                </c:pt>
                <c:pt idx="119" formatCode="0.0">
                  <c:v>4.1773770491098592</c:v>
                </c:pt>
                <c:pt idx="120" formatCode="0.0">
                  <c:v>5.7253078927881234</c:v>
                </c:pt>
                <c:pt idx="121" formatCode="0.0">
                  <c:v>8.3082564978058286</c:v>
                </c:pt>
                <c:pt idx="122" formatCode="0.0">
                  <c:v>8.4910342017081177</c:v>
                </c:pt>
                <c:pt idx="123" formatCode="0.0">
                  <c:v>8.2869894666160064</c:v>
                </c:pt>
                <c:pt idx="124" formatCode="0.0">
                  <c:v>11.624239966388132</c:v>
                </c:pt>
                <c:pt idx="125" formatCode="0.0">
                  <c:v>11.44270320686941</c:v>
                </c:pt>
                <c:pt idx="126" formatCode="0.0">
                  <c:v>9.7917635741081597</c:v>
                </c:pt>
                <c:pt idx="127" formatCode="0.0">
                  <c:v>11.214474885088777</c:v>
                </c:pt>
                <c:pt idx="128" formatCode="0.0">
                  <c:v>10.562632070505032</c:v>
                </c:pt>
                <c:pt idx="129" formatCode="0.0">
                  <c:v>11.263961890976333</c:v>
                </c:pt>
                <c:pt idx="130" formatCode="0.0">
                  <c:v>11.066470863234201</c:v>
                </c:pt>
                <c:pt idx="131" formatCode="0.0">
                  <c:v>12.953107898428058</c:v>
                </c:pt>
                <c:pt idx="143" formatCode="0.0">
                  <c:v>8.9</c:v>
                </c:pt>
                <c:pt idx="144" formatCode="0.0">
                  <c:v>10.180204786372244</c:v>
                </c:pt>
                <c:pt idx="145" formatCode="0.0">
                  <c:v>12.396783911989786</c:v>
                </c:pt>
                <c:pt idx="146" formatCode="0.0">
                  <c:v>15.340235936739219</c:v>
                </c:pt>
                <c:pt idx="147" formatCode="0.0">
                  <c:v>15.99079582087704</c:v>
                </c:pt>
                <c:pt idx="148" formatCode="0.0">
                  <c:v>15.371586476797489</c:v>
                </c:pt>
                <c:pt idx="149" formatCode="0.0">
                  <c:v>14.671035173984876</c:v>
                </c:pt>
                <c:pt idx="150" formatCode="0.0">
                  <c:v>14.535537461704948</c:v>
                </c:pt>
                <c:pt idx="151" formatCode="0.0">
                  <c:v>14.926533424801718</c:v>
                </c:pt>
                <c:pt idx="152" formatCode="0.0">
                  <c:v>14.845543457311862</c:v>
                </c:pt>
                <c:pt idx="153" formatCode="0.0">
                  <c:v>15.024981952752569</c:v>
                </c:pt>
                <c:pt idx="154" formatCode="0.0">
                  <c:v>14.378553912230714</c:v>
                </c:pt>
                <c:pt idx="155" formatCode="0.0">
                  <c:v>14.015886679427311</c:v>
                </c:pt>
                <c:pt idx="156" formatCode="0.0">
                  <c:v>12.609610152765811</c:v>
                </c:pt>
                <c:pt idx="157" formatCode="0.0">
                  <c:v>10.931492076090592</c:v>
                </c:pt>
                <c:pt idx="158" formatCode="0.0">
                  <c:v>9.2534288757585728</c:v>
                </c:pt>
                <c:pt idx="159" formatCode="0.0">
                  <c:v>9.9479162030769004</c:v>
                </c:pt>
                <c:pt idx="160" formatCode="0.0">
                  <c:v>9.151891511386836</c:v>
                </c:pt>
                <c:pt idx="161" formatCode="0.0">
                  <c:v>8.2533217730620549</c:v>
                </c:pt>
                <c:pt idx="162" formatCode="0.0">
                  <c:v>7.8276897344911873</c:v>
                </c:pt>
                <c:pt idx="163" formatCode="0.0">
                  <c:v>8.7797921524808231</c:v>
                </c:pt>
                <c:pt idx="164" formatCode="0.0">
                  <c:v>9.1085317376720951</c:v>
                </c:pt>
                <c:pt idx="165" formatCode="0.0">
                  <c:v>10.18567068329105</c:v>
                </c:pt>
                <c:pt idx="166" formatCode="0.0">
                  <c:v>11.421558682076224</c:v>
                </c:pt>
                <c:pt idx="167" formatCode="0.0">
                  <c:v>11.924345978924862</c:v>
                </c:pt>
                <c:pt idx="168" formatCode="0.0">
                  <c:v>12.302482243013429</c:v>
                </c:pt>
                <c:pt idx="169" formatCode="0.0">
                  <c:v>12.197806398324246</c:v>
                </c:pt>
                <c:pt idx="170" formatCode="0.0">
                  <c:v>12.383856725932318</c:v>
                </c:pt>
                <c:pt idx="171" formatCode="0.0">
                  <c:v>12.254456578581056</c:v>
                </c:pt>
                <c:pt idx="172" formatCode="0.0">
                  <c:v>13.670248925414199</c:v>
                </c:pt>
                <c:pt idx="173" formatCode="0.0">
                  <c:v>14.648771491104256</c:v>
                </c:pt>
                <c:pt idx="174" formatCode="0.0">
                  <c:v>14.946672880392313</c:v>
                </c:pt>
                <c:pt idx="175" formatCode="0.0">
                  <c:v>13.667896761927565</c:v>
                </c:pt>
                <c:pt idx="176" formatCode="0.0">
                  <c:v>13.030178178938954</c:v>
                </c:pt>
                <c:pt idx="177" formatCode="0.0">
                  <c:v>12.133947088721726</c:v>
                </c:pt>
                <c:pt idx="178" formatCode="0.0">
                  <c:v>11.487550261887606</c:v>
                </c:pt>
                <c:pt idx="179" formatCode="0.0">
                  <c:v>10.974663438262141</c:v>
                </c:pt>
                <c:pt idx="180" formatCode="0.0">
                  <c:v>9.8000140636077759</c:v>
                </c:pt>
                <c:pt idx="181" formatCode="0.0">
                  <c:v>9.2793971203718399</c:v>
                </c:pt>
                <c:pt idx="182" formatCode="0.0">
                  <c:v>9.2549352921328136</c:v>
                </c:pt>
                <c:pt idx="183" formatCode="0.0">
                  <c:v>9.1585814958661018</c:v>
                </c:pt>
                <c:pt idx="184" formatCode="0.0">
                  <c:v>7.9711587130033195</c:v>
                </c:pt>
                <c:pt idx="185" formatCode="0.0">
                  <c:v>7.344322420685387</c:v>
                </c:pt>
                <c:pt idx="186" formatCode="0.0">
                  <c:v>6.8943040467628549</c:v>
                </c:pt>
                <c:pt idx="187" formatCode="0.0">
                  <c:v>6.5628083139121429</c:v>
                </c:pt>
                <c:pt idx="188" formatCode="0.0">
                  <c:v>4.9309823887764139</c:v>
                </c:pt>
                <c:pt idx="189" formatCode="0.0">
                  <c:v>3.4465256883227653</c:v>
                </c:pt>
                <c:pt idx="190" formatCode="0.0">
                  <c:v>2.9492658994636258</c:v>
                </c:pt>
                <c:pt idx="191" formatCode="0.0">
                  <c:v>1.8927465927795026</c:v>
                </c:pt>
                <c:pt idx="204" formatCode="0.0">
                  <c:v>2.096915099568136</c:v>
                </c:pt>
                <c:pt idx="205" formatCode="0.0">
                  <c:v>2.4095901726494589</c:v>
                </c:pt>
                <c:pt idx="206" formatCode="0.0">
                  <c:v>3.1392089997480781</c:v>
                </c:pt>
                <c:pt idx="207" formatCode="0.0">
                  <c:v>3.250962190868222</c:v>
                </c:pt>
                <c:pt idx="208" formatCode="0.0">
                  <c:v>3.6532076469766679</c:v>
                </c:pt>
                <c:pt idx="209" formatCode="0.0">
                  <c:v>3.4091486551016743</c:v>
                </c:pt>
                <c:pt idx="210" formatCode="0.0">
                  <c:v>3.3693785460553727</c:v>
                </c:pt>
                <c:pt idx="211" formatCode="0.0">
                  <c:v>4.9816508562065565</c:v>
                </c:pt>
                <c:pt idx="212" formatCode="0.0">
                  <c:v>5.7847679830039453</c:v>
                </c:pt>
                <c:pt idx="213" formatCode="0.0">
                  <c:v>6.8665142058487163</c:v>
                </c:pt>
                <c:pt idx="214" formatCode="0.0">
                  <c:v>6.4529764855533074</c:v>
                </c:pt>
                <c:pt idx="215" formatCode="0.0">
                  <c:v>6.4123855270447478</c:v>
                </c:pt>
                <c:pt idx="216" formatCode="0.0">
                  <c:v>6.8517533318574806</c:v>
                </c:pt>
                <c:pt idx="217" formatCode="0.0">
                  <c:v>6.910680477180307</c:v>
                </c:pt>
                <c:pt idx="218" formatCode="0.0">
                  <c:v>6.6361196122739443</c:v>
                </c:pt>
                <c:pt idx="219" formatCode="0.0">
                  <c:v>6.0398873687199028</c:v>
                </c:pt>
                <c:pt idx="220" formatCode="0.0">
                  <c:v>6.1402705425187776</c:v>
                </c:pt>
                <c:pt idx="221" formatCode="0.0">
                  <c:v>7.2001644530136275</c:v>
                </c:pt>
                <c:pt idx="222" formatCode="0.0">
                  <c:v>7.7312533539737416</c:v>
                </c:pt>
                <c:pt idx="223" formatCode="0.0">
                  <c:v>5.9998522196566455</c:v>
                </c:pt>
                <c:pt idx="224" formatCode="0.0">
                  <c:v>5.6870089921373648</c:v>
                </c:pt>
                <c:pt idx="225" formatCode="0.0">
                  <c:v>6.2798962627032751</c:v>
                </c:pt>
                <c:pt idx="226" formatCode="0.0">
                  <c:v>8.0661332203150096</c:v>
                </c:pt>
                <c:pt idx="227" formatCode="0.0">
                  <c:v>8.1324306010331071</c:v>
                </c:pt>
                <c:pt idx="228" formatCode="0.0">
                  <c:v>7.2824577370836749</c:v>
                </c:pt>
                <c:pt idx="229" formatCode="0.0">
                  <c:v>6.8731023241096381</c:v>
                </c:pt>
                <c:pt idx="230" formatCode="0.0">
                  <c:v>6.6756424619326964</c:v>
                </c:pt>
                <c:pt idx="231" formatCode="0.0">
                  <c:v>7.0124106230146026</c:v>
                </c:pt>
                <c:pt idx="232" formatCode="0.0">
                  <c:v>7.8924691077318556</c:v>
                </c:pt>
                <c:pt idx="233" formatCode="0.0">
                  <c:v>8.0940006213316877</c:v>
                </c:pt>
                <c:pt idx="234" formatCode="0.0">
                  <c:v>7.6850499058820532</c:v>
                </c:pt>
                <c:pt idx="235" formatCode="0.0">
                  <c:v>8.8633203380477568</c:v>
                </c:pt>
                <c:pt idx="236" formatCode="0.0">
                  <c:v>8.994349316732368</c:v>
                </c:pt>
                <c:pt idx="237" formatCode="0.0">
                  <c:v>7.5952464937249147</c:v>
                </c:pt>
                <c:pt idx="238" formatCode="0.0">
                  <c:v>5.2277873849991465</c:v>
                </c:pt>
                <c:pt idx="239" formatCode="0.0">
                  <c:v>5.2310703097044211</c:v>
                </c:pt>
                <c:pt idx="240" formatCode="0.0">
                  <c:v>5.5857784462876339</c:v>
                </c:pt>
                <c:pt idx="241" formatCode="0.0">
                  <c:v>6.3527064615065143</c:v>
                </c:pt>
                <c:pt idx="242" formatCode="0.0">
                  <c:v>6.361819891581419</c:v>
                </c:pt>
                <c:pt idx="243" formatCode="0.0">
                  <c:v>4.6963440640156762</c:v>
                </c:pt>
                <c:pt idx="244" formatCode="0.0">
                  <c:v>3.2895032942207791</c:v>
                </c:pt>
                <c:pt idx="245" formatCode="0.0">
                  <c:v>2.84698156742013</c:v>
                </c:pt>
                <c:pt idx="246" formatCode="0.0">
                  <c:v>3.4421713958055022</c:v>
                </c:pt>
                <c:pt idx="247" formatCode="0.0">
                  <c:v>2.1084924398393383</c:v>
                </c:pt>
                <c:pt idx="248" formatCode="0.0">
                  <c:v>1.7206505681071178</c:v>
                </c:pt>
                <c:pt idx="249" formatCode="0.0">
                  <c:v>2.4381998242032523</c:v>
                </c:pt>
                <c:pt idx="250" formatCode="0.0">
                  <c:v>3.4964638588516692</c:v>
                </c:pt>
                <c:pt idx="251" formatCode="0.0">
                  <c:v>2.2769385378522173</c:v>
                </c:pt>
                <c:pt idx="263" formatCode="0.0">
                  <c:v>13.826662391221145</c:v>
                </c:pt>
                <c:pt idx="264" formatCode="0.0">
                  <c:v>15.116890422693107</c:v>
                </c:pt>
                <c:pt idx="265" formatCode="0.0">
                  <c:v>15.316321367910568</c:v>
                </c:pt>
                <c:pt idx="266" formatCode="0.0">
                  <c:v>15.743917179885504</c:v>
                </c:pt>
                <c:pt idx="267" formatCode="0.0">
                  <c:v>15.946076606260885</c:v>
                </c:pt>
                <c:pt idx="268" formatCode="0.0">
                  <c:v>16.236016203012092</c:v>
                </c:pt>
                <c:pt idx="269" formatCode="0.0">
                  <c:v>16.946236554332362</c:v>
                </c:pt>
                <c:pt idx="270" formatCode="0.0">
                  <c:v>16.449356455983221</c:v>
                </c:pt>
                <c:pt idx="271" formatCode="0.0">
                  <c:v>14.425809606880847</c:v>
                </c:pt>
                <c:pt idx="272" formatCode="0.0">
                  <c:v>13.826953899939888</c:v>
                </c:pt>
                <c:pt idx="273" formatCode="0.0">
                  <c:v>14.463490540997515</c:v>
                </c:pt>
                <c:pt idx="274" formatCode="0.0">
                  <c:v>14.547442070417738</c:v>
                </c:pt>
                <c:pt idx="275" formatCode="0.0">
                  <c:v>13.243321323966995</c:v>
                </c:pt>
                <c:pt idx="276" formatCode="0.0">
                  <c:v>12.331917873203935</c:v>
                </c:pt>
                <c:pt idx="277" formatCode="0.0">
                  <c:v>12.184532047577612</c:v>
                </c:pt>
                <c:pt idx="278" formatCode="0.0">
                  <c:v>12.233205886118647</c:v>
                </c:pt>
                <c:pt idx="279" formatCode="0.0">
                  <c:v>11.160132849423787</c:v>
                </c:pt>
                <c:pt idx="280" formatCode="0.0">
                  <c:v>11.29345742640162</c:v>
                </c:pt>
                <c:pt idx="281" formatCode="0.0">
                  <c:v>10.64384365003994</c:v>
                </c:pt>
                <c:pt idx="282" formatCode="0.0">
                  <c:v>9.1891224121650072</c:v>
                </c:pt>
                <c:pt idx="283" formatCode="0.0">
                  <c:v>10.015672592001955</c:v>
                </c:pt>
                <c:pt idx="284" formatCode="0.0">
                  <c:v>10.060467561619134</c:v>
                </c:pt>
                <c:pt idx="285" formatCode="0.0">
                  <c:v>8.958697461292676</c:v>
                </c:pt>
                <c:pt idx="286" formatCode="0.0">
                  <c:v>8.5842164229654969</c:v>
                </c:pt>
                <c:pt idx="287" formatCode="0.0">
                  <c:v>7.9239219970444807</c:v>
                </c:pt>
                <c:pt idx="288" formatCode="0.0">
                  <c:v>6.7261549095261497</c:v>
                </c:pt>
                <c:pt idx="289" formatCode="0.0">
                  <c:v>6.2539160149069462</c:v>
                </c:pt>
                <c:pt idx="290" formatCode="0.0">
                  <c:v>6.1759547550654936</c:v>
                </c:pt>
                <c:pt idx="291" formatCode="0.0">
                  <c:v>5.7161185395243841</c:v>
                </c:pt>
                <c:pt idx="292" formatCode="0.0">
                  <c:v>5.1258653805263066</c:v>
                </c:pt>
                <c:pt idx="293" formatCode="0.0">
                  <c:v>4.5776346174031479</c:v>
                </c:pt>
                <c:pt idx="294" formatCode="0.0">
                  <c:v>5.0893479627195815</c:v>
                </c:pt>
                <c:pt idx="295" formatCode="0.0">
                  <c:v>6.1338374109629612</c:v>
                </c:pt>
                <c:pt idx="296" formatCode="0.0">
                  <c:v>6.3325277002357572</c:v>
                </c:pt>
                <c:pt idx="297" formatCode="0.0">
                  <c:v>6.5745002274041342</c:v>
                </c:pt>
                <c:pt idx="298" formatCode="0.0">
                  <c:v>7.4058345213378951</c:v>
                </c:pt>
                <c:pt idx="299" formatCode="0.0">
                  <c:v>8.3596540610898273</c:v>
                </c:pt>
                <c:pt idx="300" formatCode="0.0">
                  <c:v>8.7329043234427584</c:v>
                </c:pt>
                <c:pt idx="301" formatCode="0.0">
                  <c:v>9.5880658622582651</c:v>
                </c:pt>
                <c:pt idx="302" formatCode="0.0">
                  <c:v>9.1352760139407287</c:v>
                </c:pt>
                <c:pt idx="303" formatCode="0.0">
                  <c:v>8.6424215838511778</c:v>
                </c:pt>
                <c:pt idx="304" formatCode="0.0">
                  <c:v>8.2917016748004446</c:v>
                </c:pt>
                <c:pt idx="305" formatCode="0.0">
                  <c:v>8.1975794538234439</c:v>
                </c:pt>
                <c:pt idx="306" formatCode="0.0">
                  <c:v>8.1109889058214701</c:v>
                </c:pt>
                <c:pt idx="307" formatCode="0.0">
                  <c:v>8.8050056172735314</c:v>
                </c:pt>
                <c:pt idx="308" formatCode="0.0">
                  <c:v>9.0299808348750954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2-4652-AD95-8DA5069F7F8B}"/>
            </c:ext>
          </c:extLst>
        </c:ser>
        <c:ser>
          <c:idx val="1"/>
          <c:order val="1"/>
          <c:tx>
            <c:strRef>
              <c:f>Month!$X$2</c:f>
              <c:strCache>
                <c:ptCount val="1"/>
                <c:pt idx="0">
                  <c:v>UB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Month!$X$3:$X$314</c:f>
              <c:numCache>
                <c:formatCode>General</c:formatCode>
                <c:ptCount val="312"/>
                <c:pt idx="72" formatCode="#,##0.00">
                  <c:v>12.166836847946726</c:v>
                </c:pt>
                <c:pt idx="73" formatCode="#,##0.00">
                  <c:v>6.8059352142110896</c:v>
                </c:pt>
                <c:pt idx="74" formatCode="#,##0.00">
                  <c:v>5.4928348909657529</c:v>
                </c:pt>
                <c:pt idx="75" formatCode="#,##0.00">
                  <c:v>1.4701754385965131</c:v>
                </c:pt>
                <c:pt idx="76" formatCode="#,##0.00">
                  <c:v>-1.7470112781955009</c:v>
                </c:pt>
                <c:pt idx="77" formatCode="#,##0.00">
                  <c:v>-4.4609205776173155</c:v>
                </c:pt>
                <c:pt idx="78" formatCode="#,##0.00">
                  <c:v>-5.224956014362661</c:v>
                </c:pt>
                <c:pt idx="79" formatCode="#,##0.00">
                  <c:v>1.5602038834951344</c:v>
                </c:pt>
                <c:pt idx="80" formatCode="#,##0.00">
                  <c:v>4.2960500000000224</c:v>
                </c:pt>
                <c:pt idx="81" formatCode="#,##0.00">
                  <c:v>7.7817409326425064</c:v>
                </c:pt>
                <c:pt idx="82" formatCode="#,##0.00">
                  <c:v>7.6984313725490239</c:v>
                </c:pt>
                <c:pt idx="83" formatCode="#,##0.00">
                  <c:v>4.8305850824475156</c:v>
                </c:pt>
                <c:pt idx="84" formatCode="#,##0.00">
                  <c:v>3.1223209599779622</c:v>
                </c:pt>
                <c:pt idx="85" formatCode="#,##0.00">
                  <c:v>4.1788503411689559</c:v>
                </c:pt>
                <c:pt idx="86" formatCode="#,##0.00">
                  <c:v>5.3027672123917959</c:v>
                </c:pt>
                <c:pt idx="87" formatCode="#,##0.00">
                  <c:v>3.9802167740547012</c:v>
                </c:pt>
                <c:pt idx="88" formatCode="#,##0.00">
                  <c:v>4.6730197612079687</c:v>
                </c:pt>
                <c:pt idx="89" formatCode="#,##0.00">
                  <c:v>5.4991389351513673</c:v>
                </c:pt>
                <c:pt idx="90" formatCode="#,##0.00">
                  <c:v>6.4297117281374137</c:v>
                </c:pt>
                <c:pt idx="91" formatCode="#,##0.00">
                  <c:v>10.367507875428249</c:v>
                </c:pt>
                <c:pt idx="92" formatCode="#,##0.00">
                  <c:v>12.125511944124437</c:v>
                </c:pt>
                <c:pt idx="93" formatCode="#,##0.00">
                  <c:v>13.917100553815429</c:v>
                </c:pt>
                <c:pt idx="94" formatCode="#,##0.00">
                  <c:v>13.967382836567879</c:v>
                </c:pt>
                <c:pt idx="95" formatCode="#,##0.00">
                  <c:v>14.018942185878547</c:v>
                </c:pt>
                <c:pt idx="96" formatCode="#,##0.00">
                  <c:v>17.5</c:v>
                </c:pt>
                <c:pt idx="97" formatCode="#,##0.00">
                  <c:v>17.899999999999999</c:v>
                </c:pt>
                <c:pt idx="98" formatCode="#,##0.00">
                  <c:v>20.6</c:v>
                </c:pt>
                <c:pt idx="99" formatCode="#,##0.00">
                  <c:v>26.4</c:v>
                </c:pt>
                <c:pt idx="100" formatCode="#,##0.00">
                  <c:v>32.6</c:v>
                </c:pt>
                <c:pt idx="101" formatCode="#,##0.00">
                  <c:v>32.4</c:v>
                </c:pt>
                <c:pt idx="102" formatCode="#,##0.00">
                  <c:v>33.1</c:v>
                </c:pt>
                <c:pt idx="103" formatCode="#,##0.00">
                  <c:v>33.700000000000003</c:v>
                </c:pt>
                <c:pt idx="104" formatCode="#,##0.00">
                  <c:v>31.7</c:v>
                </c:pt>
                <c:pt idx="105" formatCode="#,##0.00">
                  <c:v>27.2</c:v>
                </c:pt>
                <c:pt idx="106" formatCode="#,##0.00">
                  <c:v>24.5</c:v>
                </c:pt>
                <c:pt idx="107" formatCode="#,##0.00">
                  <c:v>23.2</c:v>
                </c:pt>
                <c:pt idx="108" formatCode="#,##0.00">
                  <c:v>21.021056029549825</c:v>
                </c:pt>
                <c:pt idx="109" formatCode="#,##0.00">
                  <c:v>17.180539744336762</c:v>
                </c:pt>
                <c:pt idx="110" formatCode="#,##0.00">
                  <c:v>17.240560055740765</c:v>
                </c:pt>
                <c:pt idx="111" formatCode="#,##0.00">
                  <c:v>12.568582606819755</c:v>
                </c:pt>
                <c:pt idx="112" formatCode="#,##0.00">
                  <c:v>7.4436460987059831</c:v>
                </c:pt>
                <c:pt idx="113" formatCode="#,##0.00">
                  <c:v>4.7366102950092852</c:v>
                </c:pt>
                <c:pt idx="114" formatCode="#,##0.00">
                  <c:v>2.9044321474104038</c:v>
                </c:pt>
                <c:pt idx="115" formatCode="#,##0.00">
                  <c:v>-0.90340071171058867</c:v>
                </c:pt>
                <c:pt idx="116" formatCode="#,##0.00">
                  <c:v>-1.9179752634941849</c:v>
                </c:pt>
                <c:pt idx="117" formatCode="#,##0.00">
                  <c:v>-1.137176062196815</c:v>
                </c:pt>
                <c:pt idx="118" formatCode="#,##0.00">
                  <c:v>1.1249855387946042</c:v>
                </c:pt>
                <c:pt idx="119" formatCode="#,##0.00">
                  <c:v>1.8780773988057007</c:v>
                </c:pt>
                <c:pt idx="120" formatCode="#,##0.00">
                  <c:v>4.4606115282816745</c:v>
                </c:pt>
                <c:pt idx="121" formatCode="#,##0.00">
                  <c:v>8.6819868097488637</c:v>
                </c:pt>
                <c:pt idx="122" formatCode="#,##0.00">
                  <c:v>7.7695868257461456</c:v>
                </c:pt>
                <c:pt idx="123" formatCode="#,##0.00">
                  <c:v>8.3747779781005534</c:v>
                </c:pt>
                <c:pt idx="124" formatCode="#,##0.00">
                  <c:v>11.715043065830471</c:v>
                </c:pt>
                <c:pt idx="125" formatCode="#,##0.00">
                  <c:v>12.596783872929194</c:v>
                </c:pt>
                <c:pt idx="126" formatCode="#,##0.00">
                  <c:v>8.8086363295655872</c:v>
                </c:pt>
                <c:pt idx="127" formatCode="#,##0.00">
                  <c:v>11.105074666007781</c:v>
                </c:pt>
                <c:pt idx="128" formatCode="#,##0.00">
                  <c:v>10.93194629500195</c:v>
                </c:pt>
                <c:pt idx="129" formatCode="#,##0.00">
                  <c:v>11.273967807613971</c:v>
                </c:pt>
                <c:pt idx="130" formatCode="#,##0.00">
                  <c:v>11.813190134266378</c:v>
                </c:pt>
                <c:pt idx="131" formatCode="#,##0.00">
                  <c:v>14.29215875635056</c:v>
                </c:pt>
                <c:pt idx="132" formatCode="#,##0.00">
                  <c:v>13.03896384027496</c:v>
                </c:pt>
                <c:pt idx="133" formatCode="#,##0.00">
                  <c:v>9.152859843328244</c:v>
                </c:pt>
                <c:pt idx="134" formatCode="#,##0.00">
                  <c:v>6.1294684046262944</c:v>
                </c:pt>
                <c:pt idx="135" formatCode="#,##0.00">
                  <c:v>3.3249715457677809</c:v>
                </c:pt>
                <c:pt idx="136" formatCode="#,##0.00">
                  <c:v>1.1902433130352676</c:v>
                </c:pt>
                <c:pt idx="137" formatCode="#,##0.00">
                  <c:v>2.6515131118557633</c:v>
                </c:pt>
                <c:pt idx="138" formatCode="#,##0.00">
                  <c:v>7.7676911523798111</c:v>
                </c:pt>
                <c:pt idx="139" formatCode="#,##0.00">
                  <c:v>7.0427226799150446</c:v>
                </c:pt>
                <c:pt idx="140" formatCode="#,##0.00">
                  <c:v>10.325995195195944</c:v>
                </c:pt>
                <c:pt idx="141" formatCode="#,##0.00">
                  <c:v>11.81215071239032</c:v>
                </c:pt>
                <c:pt idx="142" formatCode="#,##0.00">
                  <c:v>11.284003391085648</c:v>
                </c:pt>
                <c:pt idx="143" formatCode="#,##0.00">
                  <c:v>9.3946666621949788</c:v>
                </c:pt>
                <c:pt idx="144" formatCode="#,##0.00">
                  <c:v>10.907421233970126</c:v>
                </c:pt>
                <c:pt idx="145" formatCode="#,##0.00">
                  <c:v>13.392414657174086</c:v>
                </c:pt>
                <c:pt idx="146" formatCode="#,##0.00">
                  <c:v>17.301276218125949</c:v>
                </c:pt>
                <c:pt idx="147" formatCode="#,##0.00">
                  <c:v>17.766620700904795</c:v>
                </c:pt>
                <c:pt idx="148" formatCode="#,##0.00">
                  <c:v>16.555981477656871</c:v>
                </c:pt>
                <c:pt idx="149" formatCode="#,##0.00">
                  <c:v>15.123979589076171</c:v>
                </c:pt>
                <c:pt idx="150" formatCode="#,##0.00">
                  <c:v>14.919509299371612</c:v>
                </c:pt>
                <c:pt idx="151" formatCode="#,##0.00">
                  <c:v>15.59849015035654</c:v>
                </c:pt>
                <c:pt idx="152" formatCode="#,##0.00">
                  <c:v>15.069051111467459</c:v>
                </c:pt>
                <c:pt idx="153" formatCode="#,##0.00">
                  <c:v>14.986385267580616</c:v>
                </c:pt>
                <c:pt idx="154" formatCode="#,##0.00">
                  <c:v>14.21582531791924</c:v>
                </c:pt>
                <c:pt idx="155" formatCode="#,##0.00">
                  <c:v>14.215843377881853</c:v>
                </c:pt>
                <c:pt idx="156" formatCode="#,##0.00">
                  <c:v>11.910852410303463</c:v>
                </c:pt>
                <c:pt idx="157" formatCode="#,##0.00">
                  <c:v>10.410755952893126</c:v>
                </c:pt>
                <c:pt idx="158" formatCode="#,##0.00">
                  <c:v>8.3245503454014909</c:v>
                </c:pt>
                <c:pt idx="159" formatCode="#,##0.00">
                  <c:v>8.8903929358307323</c:v>
                </c:pt>
                <c:pt idx="160" formatCode="#,##0.00">
                  <c:v>7.3550394197249176</c:v>
                </c:pt>
                <c:pt idx="161" formatCode="#,##0.00">
                  <c:v>6.5111649418340107</c:v>
                </c:pt>
                <c:pt idx="162" formatCode="#,##0.00">
                  <c:v>6.0691981368289163</c:v>
                </c:pt>
                <c:pt idx="163" formatCode="#,##0.00">
                  <c:v>7.1468398999047622</c:v>
                </c:pt>
                <c:pt idx="164" formatCode="#,##0.00">
                  <c:v>6.9440884255811568</c:v>
                </c:pt>
                <c:pt idx="165" formatCode="#,##0.00">
                  <c:v>8.4543934987895284</c:v>
                </c:pt>
                <c:pt idx="166" formatCode="#,##0.00">
                  <c:v>10.117023356933785</c:v>
                </c:pt>
                <c:pt idx="167" formatCode="#,##0.00">
                  <c:v>11.188717030465767</c:v>
                </c:pt>
                <c:pt idx="168" formatCode="#,##0.00">
                  <c:v>12.189245406238484</c:v>
                </c:pt>
                <c:pt idx="169" formatCode="#,##0.00">
                  <c:v>12.015146058698988</c:v>
                </c:pt>
                <c:pt idx="170" formatCode="#,##0.00">
                  <c:v>11.912762029161712</c:v>
                </c:pt>
                <c:pt idx="171" formatCode="#,##0.00">
                  <c:v>12.034057712576413</c:v>
                </c:pt>
                <c:pt idx="172" formatCode="#,##0.00">
                  <c:v>13.93812384660923</c:v>
                </c:pt>
                <c:pt idx="173" formatCode="#,##0.00">
                  <c:v>15.072713063110385</c:v>
                </c:pt>
                <c:pt idx="174" formatCode="#,##0.00">
                  <c:v>15.429773029629203</c:v>
                </c:pt>
                <c:pt idx="175" formatCode="#,##0.00">
                  <c:v>13.557979241616437</c:v>
                </c:pt>
                <c:pt idx="176" formatCode="#,##0.00">
                  <c:v>13.630058804745815</c:v>
                </c:pt>
                <c:pt idx="177" formatCode="#,##0.00">
                  <c:v>12.728720871441922</c:v>
                </c:pt>
                <c:pt idx="178" formatCode="#,##0.00">
                  <c:v>11.90103947459383</c:v>
                </c:pt>
                <c:pt idx="179" formatCode="#,##0.00">
                  <c:v>10.682574460234306</c:v>
                </c:pt>
                <c:pt idx="180" formatCode="#,##0.00">
                  <c:v>9.3408586606546322</c:v>
                </c:pt>
                <c:pt idx="181" formatCode="#,##0.00">
                  <c:v>8.4605165930372692</c:v>
                </c:pt>
                <c:pt idx="182" formatCode="#,##0.00">
                  <c:v>8.8189615878457204</c:v>
                </c:pt>
                <c:pt idx="183" formatCode="#,##0.00">
                  <c:v>8.777588946669141</c:v>
                </c:pt>
                <c:pt idx="184" formatCode="#,##0.00">
                  <c:v>7.5336130904910732</c:v>
                </c:pt>
                <c:pt idx="185" formatCode="#,##0.00">
                  <c:v>7.1460346786134323</c:v>
                </c:pt>
                <c:pt idx="186" formatCode="#,##0.00">
                  <c:v>6.6349738893570276</c:v>
                </c:pt>
                <c:pt idx="187" formatCode="#,##0.00">
                  <c:v>5.9374275324577184</c:v>
                </c:pt>
                <c:pt idx="188" formatCode="#,##0.00">
                  <c:v>3.9411788659872258</c:v>
                </c:pt>
                <c:pt idx="189" formatCode="#,##0.00">
                  <c:v>1.9211998725957926</c:v>
                </c:pt>
                <c:pt idx="190" formatCode="#,##0.00">
                  <c:v>1.8992082680405957</c:v>
                </c:pt>
                <c:pt idx="191" formatCode="#,##0.00">
                  <c:v>1.1292613566066194</c:v>
                </c:pt>
                <c:pt idx="192" formatCode="#,##0.00">
                  <c:v>1.0437075087505718</c:v>
                </c:pt>
                <c:pt idx="193" formatCode="#,##0.00">
                  <c:v>1.6276443703437593</c:v>
                </c:pt>
                <c:pt idx="194" formatCode="#,##0.00">
                  <c:v>1.1417602665081148</c:v>
                </c:pt>
                <c:pt idx="195" formatCode="#,##0.00">
                  <c:v>1.8522933832976491</c:v>
                </c:pt>
                <c:pt idx="196" formatCode="#,##0.00">
                  <c:v>1.8435882505023784</c:v>
                </c:pt>
                <c:pt idx="197" formatCode="#,##0.00">
                  <c:v>1.1902353586088736</c:v>
                </c:pt>
                <c:pt idx="198" formatCode="#,##0.00">
                  <c:v>6.0182388571774936E-2</c:v>
                </c:pt>
                <c:pt idx="199" formatCode="#,##0.00">
                  <c:v>-0.63760442493017422</c:v>
                </c:pt>
                <c:pt idx="200" formatCode="#,##0.00">
                  <c:v>-0.67445978887916169</c:v>
                </c:pt>
                <c:pt idx="201" formatCode="#,##0.00">
                  <c:v>-0.75728497277076201</c:v>
                </c:pt>
                <c:pt idx="202" formatCode="#,##0.00">
                  <c:v>-0.64295965566248015</c:v>
                </c:pt>
                <c:pt idx="203" formatCode="#,##0.00">
                  <c:v>0.48537935807344468</c:v>
                </c:pt>
                <c:pt idx="204" formatCode="#,##0.00">
                  <c:v>1.7340436536796489</c:v>
                </c:pt>
                <c:pt idx="205" formatCode="#,##0.00">
                  <c:v>1.8098960597539673</c:v>
                </c:pt>
                <c:pt idx="206" formatCode="#,##0.00">
                  <c:v>2.9900489882909795</c:v>
                </c:pt>
                <c:pt idx="207" formatCode="#,##0.00">
                  <c:v>3.2294828047662349</c:v>
                </c:pt>
                <c:pt idx="208" formatCode="#,##0.00">
                  <c:v>3.8397964095146904</c:v>
                </c:pt>
                <c:pt idx="209" formatCode="#,##0.00">
                  <c:v>3.5341620592451051</c:v>
                </c:pt>
                <c:pt idx="210" formatCode="#,##0.00">
                  <c:v>3.3456207295756286</c:v>
                </c:pt>
                <c:pt idx="211" formatCode="#,##0.00">
                  <c:v>5.4329782659740857</c:v>
                </c:pt>
                <c:pt idx="212" formatCode="#,##0.00">
                  <c:v>6.6495439388066018</c:v>
                </c:pt>
                <c:pt idx="213" formatCode="#,##0.00">
                  <c:v>8.1928791199965616</c:v>
                </c:pt>
                <c:pt idx="214" formatCode="#,##0.00">
                  <c:v>7.6138143140258876</c:v>
                </c:pt>
                <c:pt idx="215" formatCode="#,##0.00">
                  <c:v>7.2251293729168964</c:v>
                </c:pt>
                <c:pt idx="216" formatCode="#,##0.00">
                  <c:v>8.0258308565034326</c:v>
                </c:pt>
                <c:pt idx="217" formatCode="#,##0.00">
                  <c:v>8.13589937323556</c:v>
                </c:pt>
                <c:pt idx="218" formatCode="#,##0.00">
                  <c:v>7.6915677251460721</c:v>
                </c:pt>
                <c:pt idx="219" formatCode="#,##0.00">
                  <c:v>6.6909736962180233</c:v>
                </c:pt>
                <c:pt idx="220" formatCode="#,##0.00">
                  <c:v>6.5715156660060501</c:v>
                </c:pt>
                <c:pt idx="221" formatCode="#,##0.00">
                  <c:v>7.9574164668084677</c:v>
                </c:pt>
                <c:pt idx="222" formatCode="#,##0.00">
                  <c:v>8.7723020467057182</c:v>
                </c:pt>
                <c:pt idx="223" formatCode="#,##0.00">
                  <c:v>6.4461301768564425</c:v>
                </c:pt>
                <c:pt idx="224" formatCode="#,##0.00">
                  <c:v>5.9247435025858977</c:v>
                </c:pt>
                <c:pt idx="225" formatCode="#,##0.00">
                  <c:v>6.8174821404141852</c:v>
                </c:pt>
                <c:pt idx="226" formatCode="#,##0.00">
                  <c:v>9.2914618251904812</c:v>
                </c:pt>
                <c:pt idx="227" formatCode="#,##0.00">
                  <c:v>9.6657399469246883</c:v>
                </c:pt>
                <c:pt idx="228" formatCode="#,##0.00">
                  <c:v>8.116518349504446</c:v>
                </c:pt>
                <c:pt idx="229" formatCode="#,##0.00">
                  <c:v>7.8514381845889858</c:v>
                </c:pt>
                <c:pt idx="230" formatCode="#,##0.00">
                  <c:v>7.4610232733258783</c:v>
                </c:pt>
                <c:pt idx="231" formatCode="#,##0.00">
                  <c:v>7.8388947719531075</c:v>
                </c:pt>
                <c:pt idx="232" formatCode="#,##0.00">
                  <c:v>8.8165142439686122</c:v>
                </c:pt>
                <c:pt idx="233" formatCode="#,##0.00">
                  <c:v>9.5862268531413122</c:v>
                </c:pt>
                <c:pt idx="234" formatCode="#,##0.00">
                  <c:v>9.0475061146852624</c:v>
                </c:pt>
                <c:pt idx="235" formatCode="#,##0.00">
                  <c:v>10.464280588263165</c:v>
                </c:pt>
                <c:pt idx="236" formatCode="#,##0.00">
                  <c:v>10.477467571642634</c:v>
                </c:pt>
                <c:pt idx="237" formatCode="#,##0.00">
                  <c:v>8.4645963870902534</c:v>
                </c:pt>
                <c:pt idx="238" formatCode="#,##0.00">
                  <c:v>5.0292447594843992</c:v>
                </c:pt>
                <c:pt idx="239" formatCode="#,##0.00">
                  <c:v>5.0071517419117839</c:v>
                </c:pt>
                <c:pt idx="240" formatCode="#,##0.00">
                  <c:v>6.0010561954667736</c:v>
                </c:pt>
                <c:pt idx="241" formatCode="#,##0.00">
                  <c:v>6.9305548140761601</c:v>
                </c:pt>
                <c:pt idx="242" formatCode="#,##0.00">
                  <c:v>6.7815166993807168</c:v>
                </c:pt>
                <c:pt idx="243" formatCode="#,##0.00">
                  <c:v>5.2583356316292935</c:v>
                </c:pt>
                <c:pt idx="244" formatCode="#,##0.00">
                  <c:v>3.5407435733521737</c:v>
                </c:pt>
                <c:pt idx="245" formatCode="#,##0.00">
                  <c:v>2.4357371289110006</c:v>
                </c:pt>
                <c:pt idx="246" formatCode="#,##0.00">
                  <c:v>3.2170931843106274</c:v>
                </c:pt>
                <c:pt idx="247" formatCode="#,##0.00">
                  <c:v>1.666767591800081</c:v>
                </c:pt>
                <c:pt idx="248" formatCode="#,##0.00">
                  <c:v>1.3704198774220373</c:v>
                </c:pt>
                <c:pt idx="249" formatCode="#,##0.00">
                  <c:v>2.5576108653907568</c:v>
                </c:pt>
                <c:pt idx="250" formatCode="#,##0.00">
                  <c:v>4.3492090578117342</c:v>
                </c:pt>
                <c:pt idx="251" formatCode="#,##0.00">
                  <c:v>1.8916874295377113</c:v>
                </c:pt>
                <c:pt idx="263" formatCode="#,##0.0">
                  <c:v>13.898176678156847</c:v>
                </c:pt>
                <c:pt idx="264" formatCode="#,##0.0">
                  <c:v>15.541074231575468</c:v>
                </c:pt>
                <c:pt idx="265" formatCode="#,##0.0">
                  <c:v>15.429072807860411</c:v>
                </c:pt>
                <c:pt idx="266" formatCode="#,##0.0">
                  <c:v>15.890878288282305</c:v>
                </c:pt>
                <c:pt idx="267" formatCode="#,##0.0">
                  <c:v>15.685781423557144</c:v>
                </c:pt>
                <c:pt idx="268" formatCode="#,##0.0">
                  <c:v>16.200938258943154</c:v>
                </c:pt>
                <c:pt idx="269" formatCode="#,##0.0">
                  <c:v>16.591769171525584</c:v>
                </c:pt>
                <c:pt idx="270" formatCode="#,##0.0">
                  <c:v>15.811378458786729</c:v>
                </c:pt>
                <c:pt idx="271" formatCode="#,##0.0">
                  <c:v>14.838744908253299</c:v>
                </c:pt>
                <c:pt idx="272" formatCode="#,##0.0">
                  <c:v>14.02941851155366</c:v>
                </c:pt>
                <c:pt idx="273" formatCode="#,##0.0">
                  <c:v>14.627769744199881</c:v>
                </c:pt>
                <c:pt idx="274" formatCode="0.0">
                  <c:v>14.541223929437109</c:v>
                </c:pt>
                <c:pt idx="275" formatCode="0.0">
                  <c:v>12.859791818843757</c:v>
                </c:pt>
                <c:pt idx="276" formatCode="0.0">
                  <c:v>11.986477043120436</c:v>
                </c:pt>
                <c:pt idx="277" formatCode="0.0">
                  <c:v>12.066453769609442</c:v>
                </c:pt>
                <c:pt idx="278" formatCode="0.0">
                  <c:v>12.109492765387774</c:v>
                </c:pt>
                <c:pt idx="279" formatCode="0.0">
                  <c:v>10.883467141254833</c:v>
                </c:pt>
                <c:pt idx="280" formatCode="0.0">
                  <c:v>10.812625359823125</c:v>
                </c:pt>
                <c:pt idx="281" formatCode="0.0">
                  <c:v>10.429833677384526</c:v>
                </c:pt>
                <c:pt idx="282" formatCode="0.0">
                  <c:v>9.4179012270157791</c:v>
                </c:pt>
                <c:pt idx="283" formatCode="0.0">
                  <c:v>10.014185153789356</c:v>
                </c:pt>
                <c:pt idx="284" formatCode="0.0">
                  <c:v>10.241309150999811</c:v>
                </c:pt>
                <c:pt idx="285" formatCode="0.0">
                  <c:v>9.4130932413412971</c:v>
                </c:pt>
                <c:pt idx="286" formatCode="0.0">
                  <c:v>9.370120268511295</c:v>
                </c:pt>
                <c:pt idx="287" formatCode="0.0">
                  <c:v>8.6288884805786772</c:v>
                </c:pt>
                <c:pt idx="288" formatCode="0.0">
                  <c:v>7.2230110135489634</c:v>
                </c:pt>
                <c:pt idx="289" formatCode="0.0">
                  <c:v>6.335212472200058</c:v>
                </c:pt>
                <c:pt idx="290" formatCode="0.0">
                  <c:v>6.007850140971871</c:v>
                </c:pt>
                <c:pt idx="291" formatCode="0.0">
                  <c:v>5.1636260815420165</c:v>
                </c:pt>
                <c:pt idx="292" formatCode="0.0">
                  <c:v>4.6970850342257009</c:v>
                </c:pt>
                <c:pt idx="293" formatCode="0.0">
                  <c:v>3.9748303302413301</c:v>
                </c:pt>
                <c:pt idx="294" formatCode="0.0">
                  <c:v>4.4096555517565861</c:v>
                </c:pt>
                <c:pt idx="295" formatCode="0.0">
                  <c:v>5.7585164916863496</c:v>
                </c:pt>
                <c:pt idx="296" formatCode="0.0">
                  <c:v>5.9908001168826663</c:v>
                </c:pt>
                <c:pt idx="297" formatCode="0.0">
                  <c:v>6.3915015791770946</c:v>
                </c:pt>
                <c:pt idx="298" formatCode="0.0">
                  <c:v>7.1430601034489394</c:v>
                </c:pt>
                <c:pt idx="299" formatCode="0.0">
                  <c:v>8.3101455312190922</c:v>
                </c:pt>
                <c:pt idx="300" formatCode="0.0">
                  <c:v>8.8301715721510234</c:v>
                </c:pt>
                <c:pt idx="301" formatCode="0.0">
                  <c:v>10.326608795028026</c:v>
                </c:pt>
                <c:pt idx="302" formatCode="0.0">
                  <c:v>10.107038145189629</c:v>
                </c:pt>
                <c:pt idx="303" formatCode="0.0">
                  <c:v>9.8406767517524862</c:v>
                </c:pt>
                <c:pt idx="304" formatCode="0.0">
                  <c:v>9.4047940582582044</c:v>
                </c:pt>
                <c:pt idx="305" formatCode="0.0">
                  <c:v>9.4219513635863237</c:v>
                </c:pt>
                <c:pt idx="306" formatCode="0.0">
                  <c:v>9.3381090120267842</c:v>
                </c:pt>
                <c:pt idx="307" formatCode="0.0">
                  <c:v>9.8129907300086074</c:v>
                </c:pt>
                <c:pt idx="308" formatCode="0.0">
                  <c:v>9.8555866268024381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2-4652-AD95-8DA5069F7F8B}"/>
            </c:ext>
          </c:extLst>
        </c:ser>
        <c:ser>
          <c:idx val="2"/>
          <c:order val="2"/>
          <c:tx>
            <c:strRef>
              <c:f>Month!$Y$2</c:f>
              <c:strCache>
                <c:ptCount val="1"/>
                <c:pt idx="0">
                  <c:v>Core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Month!$Y$3:$Y$314</c:f>
              <c:numCache>
                <c:formatCode>General</c:formatCode>
                <c:ptCount val="312"/>
                <c:pt idx="84" formatCode="#,##0.00">
                  <c:v>4.0443904574172223</c:v>
                </c:pt>
                <c:pt idx="85" formatCode="#,##0.00">
                  <c:v>3.5128454565416973</c:v>
                </c:pt>
                <c:pt idx="86" formatCode="#,##0.00">
                  <c:v>3.9978804554328207</c:v>
                </c:pt>
                <c:pt idx="87" formatCode="#,##0.00">
                  <c:v>3.2197172118357855</c:v>
                </c:pt>
                <c:pt idx="88" formatCode="#,##0.00">
                  <c:v>2.7506740248659298</c:v>
                </c:pt>
                <c:pt idx="89" formatCode="#,##0.00">
                  <c:v>2.6965158909784606</c:v>
                </c:pt>
                <c:pt idx="90" formatCode="#,##0.00">
                  <c:v>3.5549964932832836</c:v>
                </c:pt>
                <c:pt idx="91" formatCode="#,##0.00">
                  <c:v>8.1467499618573811</c:v>
                </c:pt>
                <c:pt idx="92" formatCode="#,##0.00">
                  <c:v>9.1480524908280927</c:v>
                </c:pt>
                <c:pt idx="93" formatCode="#,##0.00">
                  <c:v>12.902392509589774</c:v>
                </c:pt>
                <c:pt idx="94" formatCode="#,##0.00">
                  <c:v>13.167338019305049</c:v>
                </c:pt>
                <c:pt idx="95" formatCode="#,##0.00">
                  <c:v>12.492473958290844</c:v>
                </c:pt>
                <c:pt idx="96" formatCode="#,##0.00">
                  <c:v>13.744017933188275</c:v>
                </c:pt>
                <c:pt idx="97" formatCode="#,##0.00">
                  <c:v>15.650035282101641</c:v>
                </c:pt>
                <c:pt idx="98" formatCode="#,##0.00">
                  <c:v>17.566578599967769</c:v>
                </c:pt>
                <c:pt idx="99" formatCode="#,##0.00">
                  <c:v>21.63568313657585</c:v>
                </c:pt>
                <c:pt idx="100" formatCode="#,##0.00">
                  <c:v>27.127447907200462</c:v>
                </c:pt>
                <c:pt idx="101" formatCode="#,##0.00">
                  <c:v>28.040760470815741</c:v>
                </c:pt>
                <c:pt idx="102" formatCode="#,##0.00">
                  <c:v>29.241900716255884</c:v>
                </c:pt>
                <c:pt idx="103" formatCode="#,##0.00">
                  <c:v>30.922498739338266</c:v>
                </c:pt>
                <c:pt idx="104" formatCode="#,##0.00">
                  <c:v>30.204169039569734</c:v>
                </c:pt>
                <c:pt idx="105" formatCode="#,##0.00">
                  <c:v>24.944091718460655</c:v>
                </c:pt>
                <c:pt idx="106" formatCode="#,##0.00">
                  <c:v>22.9</c:v>
                </c:pt>
                <c:pt idx="107" formatCode="#,##0.00">
                  <c:v>23.1</c:v>
                </c:pt>
                <c:pt idx="108" formatCode="#,##0.00">
                  <c:v>22.9</c:v>
                </c:pt>
                <c:pt idx="109" formatCode="#,##0.00">
                  <c:v>20.2</c:v>
                </c:pt>
                <c:pt idx="110" formatCode="#,##0.00">
                  <c:v>19.899999999999999</c:v>
                </c:pt>
                <c:pt idx="111" formatCode="#,##0.00">
                  <c:v>17.2</c:v>
                </c:pt>
                <c:pt idx="112" formatCode="#,##0.00">
                  <c:v>13.2</c:v>
                </c:pt>
                <c:pt idx="113" formatCode="#,##0.00">
                  <c:v>12.3</c:v>
                </c:pt>
                <c:pt idx="114" formatCode="#,##0.00">
                  <c:v>13.3</c:v>
                </c:pt>
                <c:pt idx="115" formatCode="#,##0.00">
                  <c:v>4.9000000000000004</c:v>
                </c:pt>
                <c:pt idx="116" formatCode="#,##0.00">
                  <c:v>3.3429775117637774</c:v>
                </c:pt>
                <c:pt idx="117" formatCode="#,##0.00">
                  <c:v>2.8681040585699975</c:v>
                </c:pt>
                <c:pt idx="118" formatCode="#,##0.00">
                  <c:v>3.4039839804170384</c:v>
                </c:pt>
                <c:pt idx="119" formatCode="#,##0.00">
                  <c:v>4.0869029151538427</c:v>
                </c:pt>
                <c:pt idx="120" formatCode="#,##0.00">
                  <c:v>5.3407577194662963</c:v>
                </c:pt>
                <c:pt idx="121" formatCode="#,##0.00">
                  <c:v>7.7708160999589495</c:v>
                </c:pt>
                <c:pt idx="122" formatCode="#,##0.00">
                  <c:v>5.9776849358207755</c:v>
                </c:pt>
                <c:pt idx="123" formatCode="#,##0.00">
                  <c:v>5.186339189980373</c:v>
                </c:pt>
                <c:pt idx="124" formatCode="#,##0.00">
                  <c:v>5.6391973076659667</c:v>
                </c:pt>
                <c:pt idx="125" formatCode="#,##0.00">
                  <c:v>6.0929897891577269</c:v>
                </c:pt>
                <c:pt idx="126" formatCode="#,##0.00">
                  <c:v>5.6982638558988015</c:v>
                </c:pt>
                <c:pt idx="127" formatCode="#,##0.00">
                  <c:v>7.8986566422813524</c:v>
                </c:pt>
                <c:pt idx="128" formatCode="#,##0.00">
                  <c:v>7.2098356093708844</c:v>
                </c:pt>
                <c:pt idx="129" formatCode="#,##0.00">
                  <c:v>8.4666747643006914</c:v>
                </c:pt>
                <c:pt idx="130" formatCode="#,##0.00">
                  <c:v>9.2378782138113991</c:v>
                </c:pt>
                <c:pt idx="131" formatCode="#,##0.00">
                  <c:v>9.35011809754306</c:v>
                </c:pt>
                <c:pt idx="132" formatCode="#,##0.00">
                  <c:v>8.8956702922912001</c:v>
                </c:pt>
                <c:pt idx="133" formatCode="#,##0.00">
                  <c:v>7.9076996873677246</c:v>
                </c:pt>
                <c:pt idx="134" formatCode="#,##0.00">
                  <c:v>8.2511433895514728</c:v>
                </c:pt>
                <c:pt idx="135" formatCode="#,##0.00">
                  <c:v>8.9036452547078682</c:v>
                </c:pt>
                <c:pt idx="136" formatCode="#,##0.00">
                  <c:v>9.7950841227719394</c:v>
                </c:pt>
                <c:pt idx="137" formatCode="#,##0.00">
                  <c:v>10.672885789003246</c:v>
                </c:pt>
                <c:pt idx="138" formatCode="#,##0.00">
                  <c:v>10.719444375403953</c:v>
                </c:pt>
                <c:pt idx="139" formatCode="#,##0.00">
                  <c:v>8.1404213259104949</c:v>
                </c:pt>
                <c:pt idx="140" formatCode="#,##0.00">
                  <c:v>10.055550781628966</c:v>
                </c:pt>
                <c:pt idx="141" formatCode="#,##0.00">
                  <c:v>10.096800321342826</c:v>
                </c:pt>
                <c:pt idx="142" formatCode="#,##0.00">
                  <c:v>9.836988781726987</c:v>
                </c:pt>
                <c:pt idx="143" formatCode="#,##0.00">
                  <c:v>8.7490833249121778</c:v>
                </c:pt>
                <c:pt idx="144" formatCode="#,##0.00">
                  <c:v>10.457512847499018</c:v>
                </c:pt>
                <c:pt idx="145" formatCode="#,##0.00">
                  <c:v>10.978977397954907</c:v>
                </c:pt>
                <c:pt idx="146" formatCode="#,##0.00">
                  <c:v>11.257666056225403</c:v>
                </c:pt>
                <c:pt idx="147" formatCode="#,##0.00">
                  <c:v>10.93896987605784</c:v>
                </c:pt>
                <c:pt idx="148" formatCode="#,##0.00">
                  <c:v>10.578341607323154</c:v>
                </c:pt>
                <c:pt idx="149" formatCode="#,##0.00">
                  <c:v>9.2446760433906832</c:v>
                </c:pt>
                <c:pt idx="150" formatCode="#,##0.00">
                  <c:v>8.9</c:v>
                </c:pt>
                <c:pt idx="151" formatCode="#,##0.00">
                  <c:v>10.1</c:v>
                </c:pt>
                <c:pt idx="152" formatCode="#,##0.00">
                  <c:v>10.669817724671816</c:v>
                </c:pt>
                <c:pt idx="153" formatCode="#,##0.00">
                  <c:v>11.442784593024015</c:v>
                </c:pt>
                <c:pt idx="154" formatCode="#,##0.00">
                  <c:v>10.708597928749299</c:v>
                </c:pt>
                <c:pt idx="155" formatCode="#,##0.00">
                  <c:v>11.1</c:v>
                </c:pt>
                <c:pt idx="156" formatCode="#,##0.00">
                  <c:v>9.6</c:v>
                </c:pt>
                <c:pt idx="157" formatCode="#,##0.00">
                  <c:v>8.7239143555848955</c:v>
                </c:pt>
                <c:pt idx="158" formatCode="#,##0.00">
                  <c:v>9.1999999999999993</c:v>
                </c:pt>
                <c:pt idx="159" formatCode="#,##0.00">
                  <c:v>9.3000000000000007</c:v>
                </c:pt>
                <c:pt idx="160" formatCode="#,##0.00">
                  <c:v>7.6</c:v>
                </c:pt>
                <c:pt idx="161" formatCode="#,##0.00">
                  <c:v>7.1</c:v>
                </c:pt>
                <c:pt idx="162" formatCode="#,##0.00">
                  <c:v>7.4</c:v>
                </c:pt>
                <c:pt idx="163" formatCode="#,##0.00">
                  <c:v>9.6</c:v>
                </c:pt>
                <c:pt idx="164" formatCode="#,##0.00">
                  <c:v>8.1</c:v>
                </c:pt>
                <c:pt idx="165" formatCode="#,##0.00">
                  <c:v>9.4</c:v>
                </c:pt>
                <c:pt idx="166" formatCode="#,##0.00">
                  <c:v>11</c:v>
                </c:pt>
                <c:pt idx="167" formatCode="#,##0.00">
                  <c:v>12.1</c:v>
                </c:pt>
                <c:pt idx="168" formatCode="#,##0.00">
                  <c:v>12.6</c:v>
                </c:pt>
                <c:pt idx="169" formatCode="#,##0.00">
                  <c:v>13.1</c:v>
                </c:pt>
                <c:pt idx="170" formatCode="#,##0.00">
                  <c:v>12.6</c:v>
                </c:pt>
                <c:pt idx="171" formatCode="#,##0.00">
                  <c:v>13.1</c:v>
                </c:pt>
                <c:pt idx="172" formatCode="#,##0.00">
                  <c:v>14.8</c:v>
                </c:pt>
                <c:pt idx="173" formatCode="#,##0.00">
                  <c:v>15.8</c:v>
                </c:pt>
                <c:pt idx="174" formatCode="#,##0.00">
                  <c:v>17.899999999999999</c:v>
                </c:pt>
                <c:pt idx="175" formatCode="#,##0.00">
                  <c:v>15.6</c:v>
                </c:pt>
                <c:pt idx="176" formatCode="#,##0.00">
                  <c:v>15.5</c:v>
                </c:pt>
                <c:pt idx="177" formatCode="#,##0.00">
                  <c:v>14.1</c:v>
                </c:pt>
                <c:pt idx="178" formatCode="#,##0.00">
                  <c:v>13.6</c:v>
                </c:pt>
                <c:pt idx="179" formatCode="#,##0.00">
                  <c:v>12.6</c:v>
                </c:pt>
                <c:pt idx="180" formatCode="#,##0.00">
                  <c:v>12.3</c:v>
                </c:pt>
                <c:pt idx="181" formatCode="#,##0.00">
                  <c:v>12</c:v>
                </c:pt>
                <c:pt idx="182" formatCode="#,##0.00">
                  <c:v>11.9</c:v>
                </c:pt>
                <c:pt idx="183" formatCode="#,##0.00">
                  <c:v>11</c:v>
                </c:pt>
                <c:pt idx="184" formatCode="#,##0.00">
                  <c:v>10.199999999999999</c:v>
                </c:pt>
                <c:pt idx="185" formatCode="#,##0.00">
                  <c:v>9.6</c:v>
                </c:pt>
                <c:pt idx="186" formatCode="#,##0.00">
                  <c:v>7.3</c:v>
                </c:pt>
                <c:pt idx="187" formatCode="#,##0.00">
                  <c:v>7.2</c:v>
                </c:pt>
                <c:pt idx="188" formatCode="#,##0.00">
                  <c:v>6.1</c:v>
                </c:pt>
                <c:pt idx="189" formatCode="#,##0.00">
                  <c:v>4.8</c:v>
                </c:pt>
                <c:pt idx="190" formatCode="#,##0.00">
                  <c:v>5.3</c:v>
                </c:pt>
                <c:pt idx="191" formatCode="#,##0.00">
                  <c:v>4.8</c:v>
                </c:pt>
                <c:pt idx="192" formatCode="#,##0.00">
                  <c:v>4</c:v>
                </c:pt>
                <c:pt idx="193" formatCode="#,##0.00">
                  <c:v>3.5333019887087005</c:v>
                </c:pt>
                <c:pt idx="194" formatCode="#,##0.00">
                  <c:v>3.0678414282266147</c:v>
                </c:pt>
                <c:pt idx="195" formatCode="#,##0.00">
                  <c:v>3.2454711576403241</c:v>
                </c:pt>
                <c:pt idx="196" formatCode="#,##0.00">
                  <c:v>3.1071630341899237</c:v>
                </c:pt>
                <c:pt idx="197" formatCode="#,##0.00">
                  <c:v>3</c:v>
                </c:pt>
                <c:pt idx="198" formatCode="#,##0.00">
                  <c:v>2.8601807801490793</c:v>
                </c:pt>
                <c:pt idx="199" formatCode="#,##0.00">
                  <c:v>0.79985911970089774</c:v>
                </c:pt>
                <c:pt idx="200" formatCode="#,##0.00">
                  <c:v>0.79985911970089774</c:v>
                </c:pt>
                <c:pt idx="201" formatCode="#,##0.00">
                  <c:v>0.37154282590343257</c:v>
                </c:pt>
                <c:pt idx="202" formatCode="#,##0.00">
                  <c:v>0.11928547330903427</c:v>
                </c:pt>
                <c:pt idx="203" formatCode="#,##0.00">
                  <c:v>0.50143805372989902</c:v>
                </c:pt>
                <c:pt idx="204" formatCode="#,##0.00">
                  <c:v>-0.10212797053604561</c:v>
                </c:pt>
                <c:pt idx="205" formatCode="#,##0.00">
                  <c:v>2.0856663393054902</c:v>
                </c:pt>
                <c:pt idx="206" formatCode="#,##0.00">
                  <c:v>2.8309861677497139</c:v>
                </c:pt>
                <c:pt idx="207" formatCode="#,##0.00">
                  <c:v>3.9010550154171568</c:v>
                </c:pt>
                <c:pt idx="208" formatCode="#,##0.00">
                  <c:v>4.4840550131980734</c:v>
                </c:pt>
                <c:pt idx="209" formatCode="#,##0.00">
                  <c:v>4.7328365767963874</c:v>
                </c:pt>
                <c:pt idx="210" formatCode="#,##0.00">
                  <c:v>3.9583168512216815</c:v>
                </c:pt>
                <c:pt idx="211" formatCode="#,##0.00">
                  <c:v>5.0598138441923339</c:v>
                </c:pt>
                <c:pt idx="212" formatCode="#,##0.00">
                  <c:v>5.8540377957083649</c:v>
                </c:pt>
                <c:pt idx="213" formatCode="#,##0.00">
                  <c:v>7.3742322042998438</c:v>
                </c:pt>
                <c:pt idx="214" formatCode="#,##0.00">
                  <c:v>6.8720022440783595</c:v>
                </c:pt>
                <c:pt idx="215" formatCode="#,##0.00">
                  <c:v>7.0467495997188934</c:v>
                </c:pt>
                <c:pt idx="216" formatCode="#,##0.00">
                  <c:v>8.816602377969744</c:v>
                </c:pt>
                <c:pt idx="217" formatCode="#,##0.00">
                  <c:v>8.5568004999242078</c:v>
                </c:pt>
                <c:pt idx="218" formatCode="#,##0.00">
                  <c:v>8.2368344585829902</c:v>
                </c:pt>
                <c:pt idx="219" formatCode="#,##0.00">
                  <c:v>6.6867405878679591</c:v>
                </c:pt>
                <c:pt idx="220" formatCode="#,##0.00">
                  <c:v>6.4267372173159316</c:v>
                </c:pt>
                <c:pt idx="221" formatCode="#,##0.00">
                  <c:v>6.7461224221108296</c:v>
                </c:pt>
                <c:pt idx="222" formatCode="#,##0.00">
                  <c:v>7.4598394730507778</c:v>
                </c:pt>
                <c:pt idx="223" formatCode="#,##0.00">
                  <c:v>6.4789631397928815</c:v>
                </c:pt>
                <c:pt idx="224" formatCode="#,##0.00">
                  <c:v>6.5306346086682936</c:v>
                </c:pt>
                <c:pt idx="225" formatCode="#,##0.00">
                  <c:v>6.9056655385372778</c:v>
                </c:pt>
                <c:pt idx="226" formatCode="#,##0.00">
                  <c:v>8.9194195029013343</c:v>
                </c:pt>
                <c:pt idx="227" formatCode="#,##0.00">
                  <c:v>8.9612545278118176</c:v>
                </c:pt>
                <c:pt idx="228" formatCode="#,##0.00">
                  <c:v>6.6516853665789171</c:v>
                </c:pt>
                <c:pt idx="229" formatCode="#,##0.00">
                  <c:v>7.1779791819684675</c:v>
                </c:pt>
                <c:pt idx="230" formatCode="#,##0.00">
                  <c:v>7.1034600733144373</c:v>
                </c:pt>
                <c:pt idx="231" formatCode="#,##0.00">
                  <c:v>7.6160699233241189</c:v>
                </c:pt>
                <c:pt idx="232" formatCode="#,##0.00">
                  <c:v>7.7429911823593756</c:v>
                </c:pt>
                <c:pt idx="233" formatCode="#,##0.00">
                  <c:v>8.262148055254201</c:v>
                </c:pt>
                <c:pt idx="234" formatCode="#,##0.00">
                  <c:v>8.0922075734581398</c:v>
                </c:pt>
                <c:pt idx="235" formatCode="#,##0.00">
                  <c:v>8.4694092252265563</c:v>
                </c:pt>
                <c:pt idx="236" formatCode="#,##0.00">
                  <c:v>7.6806060424986384</c:v>
                </c:pt>
                <c:pt idx="237" formatCode="#,##0.00">
                  <c:v>6.0388477674135714</c:v>
                </c:pt>
                <c:pt idx="238" formatCode="#,##0.00">
                  <c:v>3.9582634478661163</c:v>
                </c:pt>
                <c:pt idx="239" formatCode="#,##0.00">
                  <c:v>4.2463521264981097</c:v>
                </c:pt>
                <c:pt idx="240" formatCode="#,##0.00">
                  <c:v>5.0332403289129672</c:v>
                </c:pt>
                <c:pt idx="241" formatCode="#,##0.00">
                  <c:v>5.1253062975714272</c:v>
                </c:pt>
                <c:pt idx="242" formatCode="#,##0.00">
                  <c:v>5.1547498796199278</c:v>
                </c:pt>
                <c:pt idx="243" formatCode="#,##0.00">
                  <c:v>4.0536546693446098</c:v>
                </c:pt>
                <c:pt idx="244" formatCode="#,##0.00">
                  <c:v>2.9473818507891849</c:v>
                </c:pt>
                <c:pt idx="245" formatCode="#,##0.00">
                  <c:v>2.0588585235126402</c:v>
                </c:pt>
                <c:pt idx="246" formatCode="#,##0.00">
                  <c:v>2.0298093920632994</c:v>
                </c:pt>
                <c:pt idx="247" formatCode="#,##0.00">
                  <c:v>1.5135558852630879</c:v>
                </c:pt>
                <c:pt idx="248" formatCode="#,##0.00">
                  <c:v>2.0398999548304602</c:v>
                </c:pt>
                <c:pt idx="249" formatCode="#,##0.00">
                  <c:v>3.0351621081621829</c:v>
                </c:pt>
                <c:pt idx="250" formatCode="#,##0.00">
                  <c:v>3.3190443855207263</c:v>
                </c:pt>
                <c:pt idx="251" formatCode="#,##0.00">
                  <c:v>0.21698539998293143</c:v>
                </c:pt>
                <c:pt idx="252" formatCode="#,##0.00">
                  <c:v>5.4036324019372861</c:v>
                </c:pt>
                <c:pt idx="253" formatCode="#,##0.00">
                  <c:v>5.1001926495430228</c:v>
                </c:pt>
                <c:pt idx="254" formatCode="#,##0.00">
                  <c:v>4.6821010389578976</c:v>
                </c:pt>
                <c:pt idx="255" formatCode="#,##0.00">
                  <c:v>4.9549597193004447</c:v>
                </c:pt>
                <c:pt idx="256" formatCode="#,##0.00">
                  <c:v>5.5352237117268333</c:v>
                </c:pt>
                <c:pt idx="257" formatCode="#,##0.00">
                  <c:v>6.6470762797516292</c:v>
                </c:pt>
                <c:pt idx="258" formatCode="#,##0.00">
                  <c:v>6.651525111986345</c:v>
                </c:pt>
                <c:pt idx="259" formatCode="#,##0.00">
                  <c:v>8.0107000107504831</c:v>
                </c:pt>
                <c:pt idx="260" formatCode="#,##0.00">
                  <c:v>8.1929783736039532</c:v>
                </c:pt>
                <c:pt idx="261" formatCode="#,##0.00">
                  <c:v>8.2176891974578226</c:v>
                </c:pt>
                <c:pt idx="262" formatCode="#,##0.00">
                  <c:v>8.5051813203367743</c:v>
                </c:pt>
                <c:pt idx="263" formatCode="#,##0.00">
                  <c:v>11.001159592533426</c:v>
                </c:pt>
                <c:pt idx="264" formatCode="#,##0.00">
                  <c:v>12.548046919251377</c:v>
                </c:pt>
                <c:pt idx="265" formatCode="#,##0.00">
                  <c:v>13.491977968366452</c:v>
                </c:pt>
                <c:pt idx="266" formatCode="#,##0.00">
                  <c:v>13.254794071009002</c:v>
                </c:pt>
                <c:pt idx="267" formatCode="#,##0.00">
                  <c:v>14.91209327987093</c:v>
                </c:pt>
                <c:pt idx="268" formatCode="#,##0.00">
                  <c:v>15.293920459172107</c:v>
                </c:pt>
                <c:pt idx="269" formatCode="#,##0.00">
                  <c:v>14.994154633355761</c:v>
                </c:pt>
                <c:pt idx="270" formatCode="#,##0.00">
                  <c:v>15.586812870754363</c:v>
                </c:pt>
                <c:pt idx="271" formatCode="#,##0.00">
                  <c:v>15.13639405226006</c:v>
                </c:pt>
                <c:pt idx="272" formatCode="#,##0.00">
                  <c:v>14.641259183230959</c:v>
                </c:pt>
                <c:pt idx="273" formatCode="#,##0.00">
                  <c:v>14.708758217038032</c:v>
                </c:pt>
                <c:pt idx="274" formatCode="#,##0.00">
                  <c:v>15.335135996513749</c:v>
                </c:pt>
                <c:pt idx="275" formatCode="#,##0.00">
                  <c:v>13.450269743911903</c:v>
                </c:pt>
                <c:pt idx="276" formatCode="#,##0.00">
                  <c:v>12.968109793387338</c:v>
                </c:pt>
                <c:pt idx="277" formatCode="#,##0.00">
                  <c:v>12.641224539028762</c:v>
                </c:pt>
                <c:pt idx="278" formatCode="#,##0.00">
                  <c:v>13.082889879039605</c:v>
                </c:pt>
                <c:pt idx="279" formatCode="#,##0.00">
                  <c:v>12.421741242570207</c:v>
                </c:pt>
                <c:pt idx="280" formatCode="#,##0.00">
                  <c:v>11.783799266674055</c:v>
                </c:pt>
                <c:pt idx="281" formatCode="#,##0.00">
                  <c:v>11.343027411046558</c:v>
                </c:pt>
                <c:pt idx="282" formatCode="#,##0.00">
                  <c:v>11.237513891003804</c:v>
                </c:pt>
                <c:pt idx="283" formatCode="#,##0.00">
                  <c:v>11.532903127346827</c:v>
                </c:pt>
                <c:pt idx="284" formatCode="#,##0.00">
                  <c:v>11.325856243134336</c:v>
                </c:pt>
                <c:pt idx="285" formatCode="#,##0.00">
                  <c:v>10.416555857809762</c:v>
                </c:pt>
                <c:pt idx="286" formatCode="#,##0.00">
                  <c:v>9.6748375616830593</c:v>
                </c:pt>
                <c:pt idx="287" formatCode="#,##0.00">
                  <c:v>8.8503944597138062</c:v>
                </c:pt>
                <c:pt idx="288" formatCode="#,##0.00">
                  <c:v>7.0520326944553791</c:v>
                </c:pt>
                <c:pt idx="289" formatCode="#,##0.00">
                  <c:v>6.4547811661381571</c:v>
                </c:pt>
                <c:pt idx="290" formatCode="#,##0.00">
                  <c:v>6.3711621927575068</c:v>
                </c:pt>
                <c:pt idx="291" formatCode="#,##0.00">
                  <c:v>5.5776975668828221</c:v>
                </c:pt>
                <c:pt idx="292" formatCode="#,##0.00">
                  <c:v>5.0471708748075272</c:v>
                </c:pt>
                <c:pt idx="293" formatCode="#,##0.00">
                  <c:v>4.9366649147851493</c:v>
                </c:pt>
                <c:pt idx="294" formatCode="#,##0.00">
                  <c:v>5.0074721553263091</c:v>
                </c:pt>
                <c:pt idx="295" formatCode="#,##0.00">
                  <c:v>5.9974499768206568</c:v>
                </c:pt>
                <c:pt idx="296" formatCode="#,##0.00">
                  <c:v>6.2312494324006318</c:v>
                </c:pt>
                <c:pt idx="297" formatCode="#,##0.00">
                  <c:v>6.7116310897677334</c:v>
                </c:pt>
                <c:pt idx="298" formatCode="#,##0.00">
                  <c:v>6.5344234171156534</c:v>
                </c:pt>
                <c:pt idx="299" formatCode="#,##0.00">
                  <c:v>7.8406631066179511</c:v>
                </c:pt>
                <c:pt idx="300" formatCode="#,##0.00">
                  <c:v>8.4530127802793675</c:v>
                </c:pt>
                <c:pt idx="301" formatCode="#,##0.00">
                  <c:v>9.4403087971250521</c:v>
                </c:pt>
                <c:pt idx="302" formatCode="#,##0.00">
                  <c:v>9.1160325051242488</c:v>
                </c:pt>
                <c:pt idx="303" formatCode="#,##0.00">
                  <c:v>8.9331759173197902</c:v>
                </c:pt>
                <c:pt idx="304" formatCode="#,##0.00">
                  <c:v>8.8523982337170626</c:v>
                </c:pt>
                <c:pt idx="305" formatCode="#,##0.00">
                  <c:v>8.6524030260070042</c:v>
                </c:pt>
                <c:pt idx="306" formatCode="#,##0.00">
                  <c:v>8.2416309470449747</c:v>
                </c:pt>
                <c:pt idx="307" formatCode="#,##0.00">
                  <c:v>7.6843247636753098</c:v>
                </c:pt>
                <c:pt idx="308" formatCode="#,##0.00">
                  <c:v>7.668444857363732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92-4652-AD95-8DA5069F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046416"/>
        <c:axId val="516046896"/>
      </c:lineChart>
      <c:catAx>
        <c:axId val="5160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896"/>
        <c:crosses val="autoZero"/>
        <c:auto val="1"/>
        <c:lblAlgn val="ctr"/>
        <c:lblOffset val="100"/>
        <c:noMultiLvlLbl val="0"/>
      </c:catAx>
      <c:valAx>
        <c:axId val="51604689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127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Monthly</a:t>
            </a:r>
            <a:r>
              <a:rPr lang="en-GB" baseline="0"/>
              <a:t> activity indicator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Month!$AA$2</c:f>
              <c:strCache>
                <c:ptCount val="1"/>
                <c:pt idx="0">
                  <c:v>Crisis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104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0D-465A-802D-0005C45F8384}"/>
              </c:ext>
            </c:extLst>
          </c:dPt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Month!$AA$3:$AA$314</c:f>
              <c:numCache>
                <c:formatCode>General</c:formatCode>
                <c:ptCount val="312"/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D-465A-802D-0005C45F8384}"/>
            </c:ext>
          </c:extLst>
        </c:ser>
        <c:ser>
          <c:idx val="2"/>
          <c:order val="2"/>
          <c:tx>
            <c:strRef>
              <c:f>Month!$AB$2</c:f>
              <c:strCache>
                <c:ptCount val="1"/>
                <c:pt idx="0">
                  <c:v>Crisis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Month!$AB$3:$AB$314</c:f>
              <c:numCache>
                <c:formatCode>General</c:formatCode>
                <c:ptCount val="312"/>
                <c:pt idx="104">
                  <c:v>-2.5</c:v>
                </c:pt>
                <c:pt idx="105">
                  <c:v>-2.5</c:v>
                </c:pt>
                <c:pt idx="106">
                  <c:v>-2.5</c:v>
                </c:pt>
                <c:pt idx="107">
                  <c:v>-2.5</c:v>
                </c:pt>
                <c:pt idx="108">
                  <c:v>-2.5</c:v>
                </c:pt>
                <c:pt idx="240">
                  <c:v>-2.5</c:v>
                </c:pt>
                <c:pt idx="241">
                  <c:v>-2.5</c:v>
                </c:pt>
                <c:pt idx="242">
                  <c:v>-2.5</c:v>
                </c:pt>
                <c:pt idx="243">
                  <c:v>-2.5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D-465A-802D-0005C45F8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16046416"/>
        <c:axId val="516046896"/>
      </c:barChart>
      <c:lineChart>
        <c:grouping val="standard"/>
        <c:varyColors val="0"/>
        <c:ser>
          <c:idx val="0"/>
          <c:order val="0"/>
          <c:tx>
            <c:strRef>
              <c:f>Month!$Z$2</c:f>
              <c:strCache>
                <c:ptCount val="1"/>
                <c:pt idx="0">
                  <c:v>MAI</c:v>
                </c:pt>
              </c:strCache>
            </c:strRef>
          </c:tx>
          <c:spPr>
            <a:ln w="12700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Month!$K$3:$K$314</c:f>
              <c:numCache>
                <c:formatCode>General</c:formatCode>
                <c:ptCount val="312"/>
                <c:pt idx="0">
                  <c:v>2000</c:v>
                </c:pt>
                <c:pt idx="12">
                  <c:v>2001</c:v>
                </c:pt>
                <c:pt idx="24">
                  <c:v>2002</c:v>
                </c:pt>
                <c:pt idx="36">
                  <c:v>2003</c:v>
                </c:pt>
                <c:pt idx="48">
                  <c:v>2004</c:v>
                </c:pt>
                <c:pt idx="60">
                  <c:v>2005</c:v>
                </c:pt>
                <c:pt idx="72">
                  <c:v>2006</c:v>
                </c:pt>
                <c:pt idx="84">
                  <c:v>2007</c:v>
                </c:pt>
                <c:pt idx="96">
                  <c:v>2008</c:v>
                </c:pt>
                <c:pt idx="108">
                  <c:v>2009</c:v>
                </c:pt>
                <c:pt idx="120">
                  <c:v>2010</c:v>
                </c:pt>
                <c:pt idx="132">
                  <c:v>2011</c:v>
                </c:pt>
                <c:pt idx="144">
                  <c:v>2012</c:v>
                </c:pt>
                <c:pt idx="156">
                  <c:v>2013</c:v>
                </c:pt>
                <c:pt idx="168">
                  <c:v>2014</c:v>
                </c:pt>
                <c:pt idx="180">
                  <c:v>2015</c:v>
                </c:pt>
                <c:pt idx="192">
                  <c:v>2016</c:v>
                </c:pt>
                <c:pt idx="204">
                  <c:v>2017</c:v>
                </c:pt>
                <c:pt idx="216">
                  <c:v>2018</c:v>
                </c:pt>
                <c:pt idx="228">
                  <c:v>2019</c:v>
                </c:pt>
                <c:pt idx="240">
                  <c:v>2020</c:v>
                </c:pt>
                <c:pt idx="252">
                  <c:v>2021</c:v>
                </c:pt>
                <c:pt idx="264">
                  <c:v>2022</c:v>
                </c:pt>
                <c:pt idx="276">
                  <c:v>2023</c:v>
                </c:pt>
                <c:pt idx="288">
                  <c:v>2024</c:v>
                </c:pt>
                <c:pt idx="300">
                  <c:v>2025</c:v>
                </c:pt>
              </c:numCache>
            </c:numRef>
          </c:cat>
          <c:val>
            <c:numRef>
              <c:f>Month!$Z$3:$Z$314</c:f>
              <c:numCache>
                <c:formatCode>General</c:formatCode>
                <c:ptCount val="312"/>
                <c:pt idx="37" formatCode="#,##0.00">
                  <c:v>-1.6831326612103702E-2</c:v>
                </c:pt>
                <c:pt idx="38" formatCode="#,##0.00">
                  <c:v>-0.50224963104857301</c:v>
                </c:pt>
                <c:pt idx="39" formatCode="#,##0.00">
                  <c:v>-6.5488151627272007E-2</c:v>
                </c:pt>
                <c:pt idx="40" formatCode="#,##0.00">
                  <c:v>9.8817447027722299E-2</c:v>
                </c:pt>
                <c:pt idx="41" formatCode="#,##0.00">
                  <c:v>0.193719352895275</c:v>
                </c:pt>
                <c:pt idx="42" formatCode="#,##0.00">
                  <c:v>6.0139218768519603E-2</c:v>
                </c:pt>
                <c:pt idx="43" formatCode="#,##0.00">
                  <c:v>8.8858043459798003E-2</c:v>
                </c:pt>
                <c:pt idx="44" formatCode="#,##0.00">
                  <c:v>2.0815232432109501E-3</c:v>
                </c:pt>
                <c:pt idx="45" formatCode="#,##0.00">
                  <c:v>0.138737180320194</c:v>
                </c:pt>
                <c:pt idx="46" formatCode="#,##0.00">
                  <c:v>8.1391962406253598E-2</c:v>
                </c:pt>
                <c:pt idx="47" formatCode="#,##0.00">
                  <c:v>0.11335857510166</c:v>
                </c:pt>
                <c:pt idx="48" formatCode="#,##0.00">
                  <c:v>-0.19583351103781799</c:v>
                </c:pt>
                <c:pt idx="49" formatCode="#,##0.00">
                  <c:v>-2.3903111365073899E-2</c:v>
                </c:pt>
                <c:pt idx="50" formatCode="#,##0.00">
                  <c:v>0.17957299605573701</c:v>
                </c:pt>
                <c:pt idx="51" formatCode="#,##0.00">
                  <c:v>3.7810413654216099E-2</c:v>
                </c:pt>
                <c:pt idx="52" formatCode="#,##0.00">
                  <c:v>0.10715160579152599</c:v>
                </c:pt>
                <c:pt idx="53" formatCode="#,##0.00">
                  <c:v>2.2643147959938E-2</c:v>
                </c:pt>
                <c:pt idx="54" formatCode="#,##0.00">
                  <c:v>6.0290981528702603E-2</c:v>
                </c:pt>
                <c:pt idx="55" formatCode="#,##0.00">
                  <c:v>8.4411738102608602E-2</c:v>
                </c:pt>
                <c:pt idx="56" formatCode="#,##0.00">
                  <c:v>0.12957053638649199</c:v>
                </c:pt>
                <c:pt idx="57" formatCode="#,##0.00">
                  <c:v>0.11820734441038799</c:v>
                </c:pt>
                <c:pt idx="58" formatCode="#,##0.00">
                  <c:v>5.1654834991653797E-2</c:v>
                </c:pt>
                <c:pt idx="59" formatCode="#,##0.00">
                  <c:v>0.13374263190130201</c:v>
                </c:pt>
                <c:pt idx="60" formatCode="#,##0.00">
                  <c:v>0.21153775838422501</c:v>
                </c:pt>
                <c:pt idx="61" formatCode="#,##0.00">
                  <c:v>0.18024940538899001</c:v>
                </c:pt>
                <c:pt idx="62" formatCode="#,##0.00">
                  <c:v>0.11274218649587101</c:v>
                </c:pt>
                <c:pt idx="63" formatCode="#,##0.00">
                  <c:v>-0.219884918960919</c:v>
                </c:pt>
                <c:pt idx="64" formatCode="#,##0.00">
                  <c:v>-0.26293093100014098</c:v>
                </c:pt>
                <c:pt idx="65" formatCode="#,##0.00">
                  <c:v>-0.177300351301382</c:v>
                </c:pt>
                <c:pt idx="66" formatCode="#,##0.00">
                  <c:v>-4.7832831252520698E-2</c:v>
                </c:pt>
                <c:pt idx="67" formatCode="#,##0.00">
                  <c:v>3.7732261833790297E-2</c:v>
                </c:pt>
                <c:pt idx="68" formatCode="#,##0.00">
                  <c:v>6.8589703983482797E-2</c:v>
                </c:pt>
                <c:pt idx="69" formatCode="#,##0.00">
                  <c:v>0.157084358180235</c:v>
                </c:pt>
                <c:pt idx="70" formatCode="#,##0.00">
                  <c:v>-2.1829488690457199E-2</c:v>
                </c:pt>
                <c:pt idx="71" formatCode="#,##0.00">
                  <c:v>7.4454359679547499E-2</c:v>
                </c:pt>
                <c:pt idx="72" formatCode="#,##0.00">
                  <c:v>-0.12590309725405899</c:v>
                </c:pt>
                <c:pt idx="73" formatCode="#,##0.00">
                  <c:v>1.8654314428529599E-2</c:v>
                </c:pt>
                <c:pt idx="74" formatCode="#,##0.00">
                  <c:v>-0.15522617568179001</c:v>
                </c:pt>
                <c:pt idx="75" formatCode="#,##0.00">
                  <c:v>0.17185260515964701</c:v>
                </c:pt>
                <c:pt idx="76" formatCode="#,##0.00">
                  <c:v>0.17823082551494199</c:v>
                </c:pt>
                <c:pt idx="77" formatCode="#,##0.00">
                  <c:v>4.1495068686918601E-2</c:v>
                </c:pt>
                <c:pt idx="78" formatCode="#,##0.00">
                  <c:v>7.9104898271038199E-2</c:v>
                </c:pt>
                <c:pt idx="79" formatCode="#,##0.00">
                  <c:v>-5.4385417636969302E-3</c:v>
                </c:pt>
                <c:pt idx="80" formatCode="#,##0.00">
                  <c:v>0.147638237825549</c:v>
                </c:pt>
                <c:pt idx="81" formatCode="#,##0.00">
                  <c:v>2.0051543696736601E-2</c:v>
                </c:pt>
                <c:pt idx="82" formatCode="#,##0.00">
                  <c:v>4.1034222169867497E-2</c:v>
                </c:pt>
                <c:pt idx="83" formatCode="#,##0.00">
                  <c:v>-5.9751618301917796E-3</c:v>
                </c:pt>
                <c:pt idx="84" formatCode="#,##0.00">
                  <c:v>8.6659796503020095E-2</c:v>
                </c:pt>
                <c:pt idx="85" formatCode="#,##0.00">
                  <c:v>-0.12699953731257699</c:v>
                </c:pt>
                <c:pt idx="86" formatCode="#,##0.00">
                  <c:v>-0.19789817418445299</c:v>
                </c:pt>
                <c:pt idx="87" formatCode="#,##0.00">
                  <c:v>4.4189007956975598E-2</c:v>
                </c:pt>
                <c:pt idx="88" formatCode="#,##0.00">
                  <c:v>-0.13088315970810699</c:v>
                </c:pt>
                <c:pt idx="89" formatCode="#,##0.00">
                  <c:v>-9.1030388354538999E-2</c:v>
                </c:pt>
                <c:pt idx="90" formatCode="#,##0.00">
                  <c:v>-0.12652760723206199</c:v>
                </c:pt>
                <c:pt idx="91" formatCode="#,##0.00">
                  <c:v>-0.12941376197234999</c:v>
                </c:pt>
                <c:pt idx="92" formatCode="#,##0.00">
                  <c:v>-2.95889922180952E-2</c:v>
                </c:pt>
                <c:pt idx="93" formatCode="#,##0.00">
                  <c:v>-6.0240291587664502E-2</c:v>
                </c:pt>
                <c:pt idx="94" formatCode="#,##0.00">
                  <c:v>0.210361185648125</c:v>
                </c:pt>
                <c:pt idx="95" formatCode="#,##0.00">
                  <c:v>0.10547963558884101</c:v>
                </c:pt>
                <c:pt idx="96" formatCode="#,##0.00">
                  <c:v>-2.1134814803575201E-2</c:v>
                </c:pt>
                <c:pt idx="97" formatCode="#,##0.00">
                  <c:v>0.223897733842677</c:v>
                </c:pt>
                <c:pt idx="98" formatCode="#,##0.00">
                  <c:v>0.3969546164378</c:v>
                </c:pt>
                <c:pt idx="99" formatCode="#,##0.00">
                  <c:v>0.37587338576451601</c:v>
                </c:pt>
                <c:pt idx="100" formatCode="#,##0.00">
                  <c:v>-6.3132175101653601E-2</c:v>
                </c:pt>
                <c:pt idx="101" formatCode="#,##0.00">
                  <c:v>3.1162270039698799E-2</c:v>
                </c:pt>
                <c:pt idx="102" formatCode="#,##0.00">
                  <c:v>-0.191355873321647</c:v>
                </c:pt>
                <c:pt idx="103" formatCode="#,##0.00">
                  <c:v>-0.20182920822692699</c:v>
                </c:pt>
                <c:pt idx="104" formatCode="#,##0.00">
                  <c:v>2.29046090537737E-2</c:v>
                </c:pt>
                <c:pt idx="105" formatCode="#,##0.00">
                  <c:v>-0.76289426085821099</c:v>
                </c:pt>
                <c:pt idx="106" formatCode="#,##0.00">
                  <c:v>-1.56620499837181</c:v>
                </c:pt>
                <c:pt idx="107" formatCode="#,##0.00">
                  <c:v>-1.10067658045195</c:v>
                </c:pt>
                <c:pt idx="108" formatCode="#,##0.00">
                  <c:v>-0.63570561225674904</c:v>
                </c:pt>
                <c:pt idx="109" formatCode="#,##0.00">
                  <c:v>3.7901703151638301E-2</c:v>
                </c:pt>
                <c:pt idx="110" formatCode="#,##0.00">
                  <c:v>-0.18806618425756999</c:v>
                </c:pt>
                <c:pt idx="111" formatCode="#,##0.00">
                  <c:v>-0.27605059259482501</c:v>
                </c:pt>
                <c:pt idx="112" formatCode="#,##0.00">
                  <c:v>-0.17937196558117999</c:v>
                </c:pt>
                <c:pt idx="113" formatCode="#,##0.00">
                  <c:v>-5.7662386530813198E-3</c:v>
                </c:pt>
                <c:pt idx="114" formatCode="#,##0.00">
                  <c:v>1.43165717356801E-2</c:v>
                </c:pt>
                <c:pt idx="115" formatCode="#,##0.00">
                  <c:v>4.4379533743960399E-2</c:v>
                </c:pt>
                <c:pt idx="116" formatCode="#,##0.00">
                  <c:v>2.6591103933010299E-2</c:v>
                </c:pt>
                <c:pt idx="117" formatCode="#,##0.00">
                  <c:v>0.284844222409599</c:v>
                </c:pt>
                <c:pt idx="118" formatCode="#,##0.00">
                  <c:v>0.13747486246892901</c:v>
                </c:pt>
                <c:pt idx="119" formatCode="#,##0.00">
                  <c:v>0.26838525339310199</c:v>
                </c:pt>
                <c:pt idx="120" formatCode="#,##0.00">
                  <c:v>0.15900786816653401</c:v>
                </c:pt>
                <c:pt idx="121" formatCode="#,##0.00">
                  <c:v>-0.103849080837879</c:v>
                </c:pt>
                <c:pt idx="122" formatCode="#,##0.00">
                  <c:v>-6.2974890987042301E-2</c:v>
                </c:pt>
                <c:pt idx="123" formatCode="#,##0.00">
                  <c:v>0.10115140858400599</c:v>
                </c:pt>
                <c:pt idx="124" formatCode="#,##0.00">
                  <c:v>5.7460951426450302E-2</c:v>
                </c:pt>
                <c:pt idx="125" formatCode="#,##0.00">
                  <c:v>5.2517114162335898E-2</c:v>
                </c:pt>
                <c:pt idx="126" formatCode="#,##0.00">
                  <c:v>3.4313387343886601E-2</c:v>
                </c:pt>
                <c:pt idx="127" formatCode="#,##0.00">
                  <c:v>0.120432408212863</c:v>
                </c:pt>
                <c:pt idx="128" formatCode="#,##0.00">
                  <c:v>0.28954880994083698</c:v>
                </c:pt>
                <c:pt idx="129" formatCode="#,##0.00">
                  <c:v>0.39053235784900497</c:v>
                </c:pt>
                <c:pt idx="130" formatCode="#,##0.00">
                  <c:v>0.45986024763420102</c:v>
                </c:pt>
                <c:pt idx="131" formatCode="#,##0.00">
                  <c:v>0.240842832240072</c:v>
                </c:pt>
                <c:pt idx="132" formatCode="#,##0.00">
                  <c:v>0.26501205938713202</c:v>
                </c:pt>
                <c:pt idx="133" formatCode="#,##0.00">
                  <c:v>0.25554386429255499</c:v>
                </c:pt>
                <c:pt idx="134" formatCode="#,##0.00">
                  <c:v>0.110795676703835</c:v>
                </c:pt>
                <c:pt idx="135" formatCode="#,##0.00">
                  <c:v>0.13913639374008099</c:v>
                </c:pt>
                <c:pt idx="136" formatCode="#,##0.00">
                  <c:v>0.18245391353221299</c:v>
                </c:pt>
                <c:pt idx="137" formatCode="#,##0.00">
                  <c:v>0.20236688929046201</c:v>
                </c:pt>
                <c:pt idx="138" formatCode="#,##0.00">
                  <c:v>0.23365200710817999</c:v>
                </c:pt>
                <c:pt idx="139" formatCode="#,##0.00">
                  <c:v>0.209565412409742</c:v>
                </c:pt>
                <c:pt idx="140" formatCode="#,##0.00">
                  <c:v>0.12138827625541</c:v>
                </c:pt>
                <c:pt idx="141" formatCode="#,##0.00">
                  <c:v>-2.7650549616225699E-2</c:v>
                </c:pt>
                <c:pt idx="142" formatCode="#,##0.00">
                  <c:v>-0.11630264956929399</c:v>
                </c:pt>
                <c:pt idx="143" formatCode="#,##0.00">
                  <c:v>4.6557279741404903E-2</c:v>
                </c:pt>
                <c:pt idx="144" formatCode="#,##0.00">
                  <c:v>7.7104506137416706E-2</c:v>
                </c:pt>
                <c:pt idx="145" formatCode="#,##0.00">
                  <c:v>0.203564609908927</c:v>
                </c:pt>
                <c:pt idx="146" formatCode="#,##0.00">
                  <c:v>0.19343630210739701</c:v>
                </c:pt>
                <c:pt idx="147" formatCode="#,##0.00">
                  <c:v>0.14486184350081499</c:v>
                </c:pt>
                <c:pt idx="148" formatCode="#,##0.00">
                  <c:v>-0.121766409573501</c:v>
                </c:pt>
                <c:pt idx="149" formatCode="#,##0.00">
                  <c:v>7.9121402046885697E-3</c:v>
                </c:pt>
                <c:pt idx="150" formatCode="#,##0.00">
                  <c:v>3.4955940047199298E-2</c:v>
                </c:pt>
                <c:pt idx="151" formatCode="#,##0.00">
                  <c:v>-8.7647810066547996E-2</c:v>
                </c:pt>
                <c:pt idx="152" formatCode="#,##0.00">
                  <c:v>-0.138770117424421</c:v>
                </c:pt>
                <c:pt idx="153" formatCode="#,##0.00">
                  <c:v>-6.2283284262624798E-2</c:v>
                </c:pt>
                <c:pt idx="154" formatCode="#,##0.00">
                  <c:v>6.5447058092719501E-2</c:v>
                </c:pt>
                <c:pt idx="155" formatCode="#,##0.00">
                  <c:v>9.7643826052483604E-2</c:v>
                </c:pt>
                <c:pt idx="156" formatCode="#,##0.00">
                  <c:v>0.13216048460617999</c:v>
                </c:pt>
                <c:pt idx="157" formatCode="#,##0.00">
                  <c:v>8.2746669789160301E-2</c:v>
                </c:pt>
                <c:pt idx="158" formatCode="#,##0.00">
                  <c:v>2.1969372570741798E-2</c:v>
                </c:pt>
                <c:pt idx="159" formatCode="#,##0.00">
                  <c:v>-3.86092736363986E-2</c:v>
                </c:pt>
                <c:pt idx="160" formatCode="#,##0.00">
                  <c:v>7.2955600776372503E-2</c:v>
                </c:pt>
                <c:pt idx="161" formatCode="#,##0.00">
                  <c:v>-3.3660531419628902E-2</c:v>
                </c:pt>
                <c:pt idx="162" formatCode="#,##0.00">
                  <c:v>-5.1816088889465997E-2</c:v>
                </c:pt>
                <c:pt idx="163" formatCode="#,##0.00">
                  <c:v>7.8407359756567693E-2</c:v>
                </c:pt>
                <c:pt idx="164" formatCode="#,##0.00">
                  <c:v>-1.18631021110026E-2</c:v>
                </c:pt>
                <c:pt idx="165" formatCode="#,##0.00">
                  <c:v>4.4774946834669697E-2</c:v>
                </c:pt>
                <c:pt idx="166" formatCode="#,##0.00">
                  <c:v>4.70824469380324E-3</c:v>
                </c:pt>
                <c:pt idx="167" formatCode="#,##0.00">
                  <c:v>-5.51373198537927E-2</c:v>
                </c:pt>
                <c:pt idx="168" formatCode="#,##0.00">
                  <c:v>-7.0785416468286302E-2</c:v>
                </c:pt>
                <c:pt idx="169" formatCode="#,##0.00">
                  <c:v>-0.11587853975116</c:v>
                </c:pt>
                <c:pt idx="170" formatCode="#,##0.00">
                  <c:v>-0.19548529039072901</c:v>
                </c:pt>
                <c:pt idx="171" formatCode="#,##0.00">
                  <c:v>-0.109342723827862</c:v>
                </c:pt>
                <c:pt idx="172" formatCode="#,##0.00">
                  <c:v>-4.46866543490212E-2</c:v>
                </c:pt>
                <c:pt idx="173" formatCode="#,##0.00">
                  <c:v>1.61453439822993E-2</c:v>
                </c:pt>
                <c:pt idx="174" formatCode="#,##0.00">
                  <c:v>9.4901087218731597E-2</c:v>
                </c:pt>
                <c:pt idx="175" formatCode="#,##0.00">
                  <c:v>-6.4569274884422906E-2</c:v>
                </c:pt>
                <c:pt idx="176" formatCode="#,##0.00">
                  <c:v>-7.6288060799713397E-2</c:v>
                </c:pt>
                <c:pt idx="177" formatCode="#,##0.00">
                  <c:v>-0.142422836743476</c:v>
                </c:pt>
                <c:pt idx="178" formatCode="#,##0.00">
                  <c:v>-0.24489201726291401</c:v>
                </c:pt>
                <c:pt idx="179" formatCode="#,##0.00">
                  <c:v>-0.26934271647098301</c:v>
                </c:pt>
                <c:pt idx="180" formatCode="#,##0.00">
                  <c:v>-0.28228724247141301</c:v>
                </c:pt>
                <c:pt idx="181" formatCode="#,##0.00">
                  <c:v>-0.23883047132336499</c:v>
                </c:pt>
                <c:pt idx="182" formatCode="#,##0.00">
                  <c:v>-0.37287108677354902</c:v>
                </c:pt>
                <c:pt idx="183" formatCode="#,##0.00">
                  <c:v>-0.26087847919709001</c:v>
                </c:pt>
                <c:pt idx="184" formatCode="#,##0.00">
                  <c:v>-0.153336454867357</c:v>
                </c:pt>
                <c:pt idx="185" formatCode="#,##0.00">
                  <c:v>-8.5713485205456005E-2</c:v>
                </c:pt>
                <c:pt idx="186" formatCode="#,##0.00">
                  <c:v>-0.13190566691776601</c:v>
                </c:pt>
                <c:pt idx="187" formatCode="#,##0.00">
                  <c:v>-0.247442911737456</c:v>
                </c:pt>
                <c:pt idx="188" formatCode="#,##0.00">
                  <c:v>-0.21654899891038501</c:v>
                </c:pt>
                <c:pt idx="189" formatCode="#,##0.00">
                  <c:v>-0.13050219849166</c:v>
                </c:pt>
                <c:pt idx="190" formatCode="#,##0.00">
                  <c:v>-0.205962208559859</c:v>
                </c:pt>
                <c:pt idx="191" formatCode="#,##0.00">
                  <c:v>-0.193307773496077</c:v>
                </c:pt>
                <c:pt idx="192" formatCode="#,##0.00">
                  <c:v>-0.202688060578921</c:v>
                </c:pt>
                <c:pt idx="193" formatCode="#,##0.00">
                  <c:v>-0.186186512845401</c:v>
                </c:pt>
                <c:pt idx="194" formatCode="#,##0.00">
                  <c:v>-2.1065397333684899E-2</c:v>
                </c:pt>
                <c:pt idx="195" formatCode="#,##0.00">
                  <c:v>1.6328590490136699E-2</c:v>
                </c:pt>
                <c:pt idx="196" formatCode="#,##0.00">
                  <c:v>3.0974794890943199E-3</c:v>
                </c:pt>
                <c:pt idx="197" formatCode="#,##0.00">
                  <c:v>-1.7693150901754301E-2</c:v>
                </c:pt>
                <c:pt idx="198" formatCode="#,##0.00">
                  <c:v>2.8920233879426101E-2</c:v>
                </c:pt>
                <c:pt idx="199" formatCode="#,##0.00">
                  <c:v>0.18528377767030799</c:v>
                </c:pt>
                <c:pt idx="200" formatCode="#,##0.00">
                  <c:v>0.143815083413662</c:v>
                </c:pt>
                <c:pt idx="201" formatCode="#,##0.00">
                  <c:v>0.30410812617906302</c:v>
                </c:pt>
                <c:pt idx="202" formatCode="#,##0.00">
                  <c:v>0.41276935346799398</c:v>
                </c:pt>
                <c:pt idx="203" formatCode="#,##0.00">
                  <c:v>0.32123640539584503</c:v>
                </c:pt>
                <c:pt idx="204" formatCode="#,##0.00">
                  <c:v>0.32025401285682598</c:v>
                </c:pt>
                <c:pt idx="205" formatCode="#,##0.00">
                  <c:v>0.37052158095358301</c:v>
                </c:pt>
                <c:pt idx="206" formatCode="#,##0.00">
                  <c:v>0.19156607055230701</c:v>
                </c:pt>
                <c:pt idx="207" formatCode="#,##0.00">
                  <c:v>7.9259580901369003E-2</c:v>
                </c:pt>
                <c:pt idx="208" formatCode="#,##0.00">
                  <c:v>-8.5043447630165896E-3</c:v>
                </c:pt>
                <c:pt idx="209" formatCode="#,##0.00">
                  <c:v>1.3184770771840699E-2</c:v>
                </c:pt>
                <c:pt idx="210" formatCode="#,##0.00">
                  <c:v>2.1713030119877502E-2</c:v>
                </c:pt>
                <c:pt idx="211" formatCode="#,##0.00">
                  <c:v>9.9301999929977E-2</c:v>
                </c:pt>
                <c:pt idx="212" formatCode="#,##0.00">
                  <c:v>0.14496553334005199</c:v>
                </c:pt>
                <c:pt idx="213" formatCode="#,##0.00">
                  <c:v>2.93917326893419E-2</c:v>
                </c:pt>
                <c:pt idx="214" formatCode="#,##0.00">
                  <c:v>2.1906497856519599E-2</c:v>
                </c:pt>
                <c:pt idx="215" formatCode="#,##0.00">
                  <c:v>6.3725904627557797E-2</c:v>
                </c:pt>
                <c:pt idx="216" formatCode="#,##0.00">
                  <c:v>9.0834044642492395E-2</c:v>
                </c:pt>
                <c:pt idx="217" formatCode="#,##0.00">
                  <c:v>8.31415316406659E-2</c:v>
                </c:pt>
                <c:pt idx="218" formatCode="#,##0.00">
                  <c:v>2.2960441193459798E-2</c:v>
                </c:pt>
                <c:pt idx="219" formatCode="#,##0.00">
                  <c:v>3.1282373524043498E-2</c:v>
                </c:pt>
                <c:pt idx="220" formatCode="#,##0.00">
                  <c:v>0.108519352906833</c:v>
                </c:pt>
                <c:pt idx="221" formatCode="#,##0.00">
                  <c:v>-5.7871772027618803E-3</c:v>
                </c:pt>
                <c:pt idx="222" formatCode="#,##0.00">
                  <c:v>-1.7346408427971399E-2</c:v>
                </c:pt>
                <c:pt idx="223" formatCode="#,##0.00">
                  <c:v>-1.7286003219921901E-2</c:v>
                </c:pt>
                <c:pt idx="224" formatCode="#,##0.00">
                  <c:v>-4.0018424484167599E-2</c:v>
                </c:pt>
                <c:pt idx="225" formatCode="#,##0.00">
                  <c:v>-0.105672147052652</c:v>
                </c:pt>
                <c:pt idx="226" formatCode="#,##0.00">
                  <c:v>-0.180859174294073</c:v>
                </c:pt>
                <c:pt idx="227" formatCode="#,##0.00">
                  <c:v>-0.101964145917685</c:v>
                </c:pt>
                <c:pt idx="228" formatCode="#,##0.00">
                  <c:v>-4.1545251358068698E-2</c:v>
                </c:pt>
                <c:pt idx="229" formatCode="#,##0.00">
                  <c:v>-1.6057635434114099E-2</c:v>
                </c:pt>
                <c:pt idx="230" formatCode="#,##0.00">
                  <c:v>2.91538014260476E-2</c:v>
                </c:pt>
                <c:pt idx="231" formatCode="#,##0.00">
                  <c:v>7.8319843998988399E-3</c:v>
                </c:pt>
                <c:pt idx="232" formatCode="#,##0.00">
                  <c:v>-0.118768685317022</c:v>
                </c:pt>
                <c:pt idx="233" formatCode="#,##0.00">
                  <c:v>-5.5886748741485401E-2</c:v>
                </c:pt>
                <c:pt idx="234" formatCode="#,##0.00">
                  <c:v>5.1308256035529597E-2</c:v>
                </c:pt>
                <c:pt idx="235" formatCode="#,##0.00">
                  <c:v>-5.2407569849065201E-2</c:v>
                </c:pt>
                <c:pt idx="236" formatCode="#,##0.00">
                  <c:v>-9.4793020530384103E-2</c:v>
                </c:pt>
                <c:pt idx="237" formatCode="#,##0.00">
                  <c:v>-9.2096048020996399E-2</c:v>
                </c:pt>
                <c:pt idx="238" formatCode="#,##0.00">
                  <c:v>-5.3454482783714098E-2</c:v>
                </c:pt>
                <c:pt idx="239" formatCode="#,##0.00">
                  <c:v>-1.43739642904305E-2</c:v>
                </c:pt>
                <c:pt idx="240" formatCode="#,##0.00">
                  <c:v>-5.67259733815203E-2</c:v>
                </c:pt>
                <c:pt idx="241" formatCode="#,##0.00">
                  <c:v>-2.0821762109708501</c:v>
                </c:pt>
                <c:pt idx="242" formatCode="#,##0.00">
                  <c:v>0.64430395632988902</c:v>
                </c:pt>
                <c:pt idx="243" formatCode="#,##0.00">
                  <c:v>0.15558143799382701</c:v>
                </c:pt>
                <c:pt idx="244" formatCode="#,##0.00">
                  <c:v>2.0823223962708102E-3</c:v>
                </c:pt>
                <c:pt idx="245" formatCode="#,##0.00">
                  <c:v>1.9174518582520901E-2</c:v>
                </c:pt>
                <c:pt idx="246" formatCode="#,##0.00">
                  <c:v>7.5731594002130698E-2</c:v>
                </c:pt>
                <c:pt idx="247" formatCode="#,##0.00">
                  <c:v>6.2277979688724699E-2</c:v>
                </c:pt>
                <c:pt idx="248" formatCode="#,##0.00">
                  <c:v>8.7140867957097301E-2</c:v>
                </c:pt>
                <c:pt idx="249" formatCode="#,##0.00">
                  <c:v>0.13900231801333701</c:v>
                </c:pt>
                <c:pt idx="250" formatCode="#,##0.00">
                  <c:v>6.8797447751958896E-2</c:v>
                </c:pt>
                <c:pt idx="251" formatCode="#,##0.00">
                  <c:v>6.1884632001280401E-2</c:v>
                </c:pt>
                <c:pt idx="252" formatCode="#,##0.00">
                  <c:v>7.2735294020574007E-2</c:v>
                </c:pt>
                <c:pt idx="253" formatCode="#,##0.00">
                  <c:v>7.8052824543099794E-2</c:v>
                </c:pt>
                <c:pt idx="254" formatCode="#,##0.00">
                  <c:v>6.6402467448007693E-2</c:v>
                </c:pt>
                <c:pt idx="255" formatCode="#,##0.00">
                  <c:v>2.62742008867906E-2</c:v>
                </c:pt>
                <c:pt idx="256" formatCode="#,##0.00">
                  <c:v>3.5850037973137898E-2</c:v>
                </c:pt>
                <c:pt idx="257" formatCode="#,##0.00">
                  <c:v>4.5605952506721899E-2</c:v>
                </c:pt>
                <c:pt idx="258" formatCode="#,##0.00">
                  <c:v>4.0186363596370997E-2</c:v>
                </c:pt>
                <c:pt idx="259" formatCode="#,##0.00">
                  <c:v>-8.02936023046915E-2</c:v>
                </c:pt>
                <c:pt idx="260" formatCode="#,##0.00">
                  <c:v>-0.21130136017216899</c:v>
                </c:pt>
                <c:pt idx="261" formatCode="#,##0.00">
                  <c:v>-0.130547845551203</c:v>
                </c:pt>
                <c:pt idx="262" formatCode="#,##0.00">
                  <c:v>-8.6195870138555702E-5</c:v>
                </c:pt>
                <c:pt idx="263" formatCode="#,##0.00">
                  <c:v>-5.2832762961146203E-2</c:v>
                </c:pt>
                <c:pt idx="264" formatCode="#,##0.00">
                  <c:v>-1.6822234126836699E-2</c:v>
                </c:pt>
                <c:pt idx="265" formatCode="#,##0.00">
                  <c:v>0.21951463739590801</c:v>
                </c:pt>
                <c:pt idx="266" formatCode="#,##0.00">
                  <c:v>-7.7678442637151596E-2</c:v>
                </c:pt>
                <c:pt idx="267" formatCode="#,##0.00">
                  <c:v>-1.49572942951628E-2</c:v>
                </c:pt>
                <c:pt idx="268" formatCode="#,##0.00">
                  <c:v>0.18466266878083601</c:v>
                </c:pt>
                <c:pt idx="269" formatCode="#,##0.00">
                  <c:v>0.17530805977082101</c:v>
                </c:pt>
                <c:pt idx="270" formatCode="#,##0.00">
                  <c:v>-1.6900748265631E-3</c:v>
                </c:pt>
                <c:pt idx="271" formatCode="#,##0.00">
                  <c:v>-4.8544346503967203E-2</c:v>
                </c:pt>
                <c:pt idx="272" formatCode="#,##0.00">
                  <c:v>8.5681004676819605E-2</c:v>
                </c:pt>
                <c:pt idx="273" formatCode="#,##0.00">
                  <c:v>-3.11070164459906E-2</c:v>
                </c:pt>
                <c:pt idx="274" formatCode="#,##0.00">
                  <c:v>-0.195571223453021</c:v>
                </c:pt>
                <c:pt idx="275" formatCode="#,##0.00">
                  <c:v>-0.200710853317387</c:v>
                </c:pt>
                <c:pt idx="276" formatCode="#,##0.00">
                  <c:v>0.21868049501804401</c:v>
                </c:pt>
                <c:pt idx="277" formatCode="#,##0.00">
                  <c:v>0.39972179834709698</c:v>
                </c:pt>
                <c:pt idx="278" formatCode="#,##0.00">
                  <c:v>8.5349551218269794E-3</c:v>
                </c:pt>
                <c:pt idx="279" formatCode="#,##0.00">
                  <c:v>-0.15288229288427799</c:v>
                </c:pt>
                <c:pt idx="280" formatCode="#,##0.00">
                  <c:v>-0.234862403312738</c:v>
                </c:pt>
                <c:pt idx="281" formatCode="#,##0.00">
                  <c:v>-0.20436214687708301</c:v>
                </c:pt>
                <c:pt idx="282" formatCode="#,##0.00">
                  <c:v>-5.5448572496282302E-2</c:v>
                </c:pt>
                <c:pt idx="283" formatCode="#,##0.00">
                  <c:v>2.97737569880712E-2</c:v>
                </c:pt>
                <c:pt idx="284" formatCode="#,##0.00">
                  <c:v>7.0840702584376802E-2</c:v>
                </c:pt>
                <c:pt idx="285" formatCode="#,##0.00">
                  <c:v>7.9625896688067493E-2</c:v>
                </c:pt>
                <c:pt idx="286" formatCode="#,##0.00">
                  <c:v>0.112428236556568</c:v>
                </c:pt>
                <c:pt idx="287" formatCode="#,##0.00">
                  <c:v>1.8457632378749099E-3</c:v>
                </c:pt>
                <c:pt idx="288" formatCode="#,##0.00">
                  <c:v>7.62168238380517E-2</c:v>
                </c:pt>
                <c:pt idx="289" formatCode="#,##0.00">
                  <c:v>1.1864747698560601E-3</c:v>
                </c:pt>
                <c:pt idx="290" formatCode="#,##0.00">
                  <c:v>4.17422846886109E-3</c:v>
                </c:pt>
                <c:pt idx="291" formatCode="#,##0.00">
                  <c:v>0.14542817718039799</c:v>
                </c:pt>
                <c:pt idx="292" formatCode="#,##0.00">
                  <c:v>-3.9231787330782399E-2</c:v>
                </c:pt>
                <c:pt idx="293" formatCode="#,##0.00">
                  <c:v>-4.7099699154892198E-2</c:v>
                </c:pt>
                <c:pt idx="294" formatCode="#,##0.00">
                  <c:v>4.2887888994936299E-2</c:v>
                </c:pt>
                <c:pt idx="295" formatCode="#,##0.00">
                  <c:v>-9.1842140898546806E-3</c:v>
                </c:pt>
                <c:pt idx="296" formatCode="#,##0.00">
                  <c:v>2.2508254750787499E-3</c:v>
                </c:pt>
                <c:pt idx="297" formatCode="#,##0.00">
                  <c:v>8.6416727700131396E-2</c:v>
                </c:pt>
                <c:pt idx="298" formatCode="#,##0.00">
                  <c:v>8.2848590118894699E-2</c:v>
                </c:pt>
                <c:pt idx="299" formatCode="#,##0.00">
                  <c:v>2.9624668338908901E-2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2-4652-AD95-8DA5069F7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046416"/>
        <c:axId val="516046896"/>
      </c:lineChart>
      <c:catAx>
        <c:axId val="51604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896"/>
        <c:crosses val="autoZero"/>
        <c:auto val="1"/>
        <c:lblAlgn val="ctr"/>
        <c:lblOffset val="100"/>
        <c:noMultiLvlLbl val="0"/>
      </c:catAx>
      <c:valAx>
        <c:axId val="516046896"/>
        <c:scaling>
          <c:orientation val="minMax"/>
          <c:max val="1"/>
          <c:min val="-2.5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 w="127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604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Output gap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Quarter!$M$2</c:f>
              <c:strCache>
                <c:ptCount val="1"/>
                <c:pt idx="0">
                  <c:v>HP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Quarter!$K$3:$K$106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Quarter!$M$3:$M$106</c:f>
              <c:numCache>
                <c:formatCode>0%</c:formatCode>
                <c:ptCount val="104"/>
                <c:pt idx="0">
                  <c:v>-4.3168028634777304E-2</c:v>
                </c:pt>
                <c:pt idx="1">
                  <c:v>2.9072947067279503E-2</c:v>
                </c:pt>
                <c:pt idx="2">
                  <c:v>4.2951620213452696E-2</c:v>
                </c:pt>
                <c:pt idx="3">
                  <c:v>5.7996278125040102E-2</c:v>
                </c:pt>
                <c:pt idx="4">
                  <c:v>-2.7634174033987602E-2</c:v>
                </c:pt>
                <c:pt idx="5">
                  <c:v>-2.0458766885619699E-2</c:v>
                </c:pt>
                <c:pt idx="6">
                  <c:v>1.0603195961209599E-2</c:v>
                </c:pt>
                <c:pt idx="7">
                  <c:v>1.4475606481364501E-2</c:v>
                </c:pt>
                <c:pt idx="8">
                  <c:v>6.4479724458124096E-2</c:v>
                </c:pt>
                <c:pt idx="9">
                  <c:v>-3.6089433708204902E-2</c:v>
                </c:pt>
                <c:pt idx="10">
                  <c:v>-5.6408329213140797E-2</c:v>
                </c:pt>
                <c:pt idx="11">
                  <c:v>-2.8394728694834101E-2</c:v>
                </c:pt>
                <c:pt idx="12">
                  <c:v>-9.6907575323621105E-3</c:v>
                </c:pt>
                <c:pt idx="13">
                  <c:v>-1.1437365491506099E-2</c:v>
                </c:pt>
                <c:pt idx="14">
                  <c:v>-1.27937889104555E-2</c:v>
                </c:pt>
                <c:pt idx="15">
                  <c:v>-4.2508515635661298E-2</c:v>
                </c:pt>
                <c:pt idx="16">
                  <c:v>1.7199243195932402E-3</c:v>
                </c:pt>
                <c:pt idx="17">
                  <c:v>4.1994123798472102E-2</c:v>
                </c:pt>
                <c:pt idx="18">
                  <c:v>1.44054633409905E-2</c:v>
                </c:pt>
                <c:pt idx="19">
                  <c:v>-2.9244023377705101E-2</c:v>
                </c:pt>
                <c:pt idx="20">
                  <c:v>-2.49283100445063E-2</c:v>
                </c:pt>
                <c:pt idx="21">
                  <c:v>6.8601552513427996E-3</c:v>
                </c:pt>
                <c:pt idx="22">
                  <c:v>1.2334019194431601E-2</c:v>
                </c:pt>
                <c:pt idx="23">
                  <c:v>3.4340782010894998E-3</c:v>
                </c:pt>
                <c:pt idx="24">
                  <c:v>1.27650685055641E-3</c:v>
                </c:pt>
                <c:pt idx="25">
                  <c:v>-3.69061984143286E-2</c:v>
                </c:pt>
                <c:pt idx="26">
                  <c:v>-1.41670428377005E-2</c:v>
                </c:pt>
                <c:pt idx="27">
                  <c:v>6.4831423573707497E-2</c:v>
                </c:pt>
                <c:pt idx="28">
                  <c:v>-5.26287434517826E-3</c:v>
                </c:pt>
                <c:pt idx="29">
                  <c:v>2.46601339156154E-2</c:v>
                </c:pt>
                <c:pt idx="30">
                  <c:v>2.4194820298550801E-2</c:v>
                </c:pt>
                <c:pt idx="31">
                  <c:v>5.3226091553715299E-2</c:v>
                </c:pt>
                <c:pt idx="32">
                  <c:v>5.7124818350539501E-2</c:v>
                </c:pt>
                <c:pt idx="33">
                  <c:v>3.3918930822237597E-2</c:v>
                </c:pt>
                <c:pt idx="34">
                  <c:v>4.0803407477953899E-2</c:v>
                </c:pt>
                <c:pt idx="35">
                  <c:v>3.2274925533595199E-2</c:v>
                </c:pt>
                <c:pt idx="36">
                  <c:v>-4.5226762021518402E-2</c:v>
                </c:pt>
                <c:pt idx="37">
                  <c:v>-4.9827066069049096E-2</c:v>
                </c:pt>
                <c:pt idx="38">
                  <c:v>-7.5589719912147704E-2</c:v>
                </c:pt>
                <c:pt idx="39">
                  <c:v>-2.4872903177076702E-2</c:v>
                </c:pt>
                <c:pt idx="40">
                  <c:v>-6.4320749804423899E-2</c:v>
                </c:pt>
                <c:pt idx="41">
                  <c:v>-7.2795034964235505E-2</c:v>
                </c:pt>
                <c:pt idx="42">
                  <c:v>-6.3307443255343904E-2</c:v>
                </c:pt>
                <c:pt idx="43">
                  <c:v>-8.0970718837891087E-2</c:v>
                </c:pt>
                <c:pt idx="44">
                  <c:v>3.22221613442252E-3</c:v>
                </c:pt>
                <c:pt idx="45">
                  <c:v>1.7616253469200201E-2</c:v>
                </c:pt>
                <c:pt idx="46">
                  <c:v>2.5308572189410298E-2</c:v>
                </c:pt>
                <c:pt idx="47">
                  <c:v>-6.2199266028746897E-2</c:v>
                </c:pt>
                <c:pt idx="48">
                  <c:v>6.0152366707075001E-2</c:v>
                </c:pt>
                <c:pt idx="49">
                  <c:v>2.75737244235278E-2</c:v>
                </c:pt>
                <c:pt idx="50">
                  <c:v>-2.4405007901063903E-2</c:v>
                </c:pt>
                <c:pt idx="51">
                  <c:v>1.3423534560001799E-2</c:v>
                </c:pt>
                <c:pt idx="52">
                  <c:v>3.4160784062064499E-2</c:v>
                </c:pt>
                <c:pt idx="53">
                  <c:v>3.2629643486604902E-2</c:v>
                </c:pt>
                <c:pt idx="54">
                  <c:v>5.5505540529629797E-2</c:v>
                </c:pt>
                <c:pt idx="55">
                  <c:v>2.7322691409956402E-2</c:v>
                </c:pt>
                <c:pt idx="56">
                  <c:v>2.6160112443851601E-2</c:v>
                </c:pt>
                <c:pt idx="57">
                  <c:v>4.3607899882276799E-2</c:v>
                </c:pt>
                <c:pt idx="58">
                  <c:v>7.49355946162268E-2</c:v>
                </c:pt>
                <c:pt idx="59">
                  <c:v>8.3776281679388293E-3</c:v>
                </c:pt>
                <c:pt idx="60">
                  <c:v>8.5077528761758005E-4</c:v>
                </c:pt>
                <c:pt idx="61">
                  <c:v>5.8422203131863106E-3</c:v>
                </c:pt>
                <c:pt idx="62">
                  <c:v>3.1462461644514404E-2</c:v>
                </c:pt>
                <c:pt idx="63">
                  <c:v>-2.4799026795203599E-2</c:v>
                </c:pt>
                <c:pt idx="64">
                  <c:v>-2.76892447466025E-2</c:v>
                </c:pt>
                <c:pt idx="65">
                  <c:v>-3.7748421056414801E-2</c:v>
                </c:pt>
                <c:pt idx="66">
                  <c:v>-5.1955685310560905E-2</c:v>
                </c:pt>
                <c:pt idx="67">
                  <c:v>-6.4579701882621502E-3</c:v>
                </c:pt>
                <c:pt idx="68">
                  <c:v>-1.7700592894218502E-2</c:v>
                </c:pt>
                <c:pt idx="69">
                  <c:v>-2.1522202524192801E-2</c:v>
                </c:pt>
                <c:pt idx="70">
                  <c:v>-1.9404385272744001E-2</c:v>
                </c:pt>
                <c:pt idx="71">
                  <c:v>-1.4149462822738299E-2</c:v>
                </c:pt>
                <c:pt idx="72">
                  <c:v>2.5702028066848398E-3</c:v>
                </c:pt>
                <c:pt idx="73">
                  <c:v>1.5921202028578101E-2</c:v>
                </c:pt>
                <c:pt idx="74">
                  <c:v>1.8135315542078801E-2</c:v>
                </c:pt>
                <c:pt idx="75">
                  <c:v>3.7350394779525599E-2</c:v>
                </c:pt>
                <c:pt idx="76">
                  <c:v>5.0407547359816299E-2</c:v>
                </c:pt>
                <c:pt idx="77">
                  <c:v>5.9360047363231798E-2</c:v>
                </c:pt>
                <c:pt idx="78">
                  <c:v>4.21836851414377E-2</c:v>
                </c:pt>
                <c:pt idx="79">
                  <c:v>3.3086116866531901E-2</c:v>
                </c:pt>
                <c:pt idx="80">
                  <c:v>-8.4404249553694993E-2</c:v>
                </c:pt>
                <c:pt idx="81">
                  <c:v>-4.2051231321361203E-2</c:v>
                </c:pt>
                <c:pt idx="82">
                  <c:v>-7.7175081155155499E-3</c:v>
                </c:pt>
                <c:pt idx="83">
                  <c:v>1.8422168891331601E-2</c:v>
                </c:pt>
                <c:pt idx="84">
                  <c:v>2.8500187411177599E-2</c:v>
                </c:pt>
                <c:pt idx="85">
                  <c:v>-5.1410254186941902E-2</c:v>
                </c:pt>
                <c:pt idx="86">
                  <c:v>-3.6097742136289496E-2</c:v>
                </c:pt>
                <c:pt idx="87">
                  <c:v>-3.9369675358161597E-2</c:v>
                </c:pt>
                <c:pt idx="88">
                  <c:v>-3.4000951943717099E-2</c:v>
                </c:pt>
                <c:pt idx="89">
                  <c:v>-9.0683293360302696E-3</c:v>
                </c:pt>
                <c:pt idx="90">
                  <c:v>9.7461697434914601E-3</c:v>
                </c:pt>
                <c:pt idx="91">
                  <c:v>1.4074269854259001E-2</c:v>
                </c:pt>
                <c:pt idx="92">
                  <c:v>1.71288802152776E-2</c:v>
                </c:pt>
                <c:pt idx="93">
                  <c:v>2.0477541226596202E-2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5-4A4C-BB49-02B136BF071A}"/>
            </c:ext>
          </c:extLst>
        </c:ser>
        <c:ser>
          <c:idx val="1"/>
          <c:order val="1"/>
          <c:tx>
            <c:strRef>
              <c:f>Quarter!$N$2</c:f>
              <c:strCache>
                <c:ptCount val="1"/>
                <c:pt idx="0">
                  <c:v>Kalman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Quarter!$K$3:$K$106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Quarter!$N$3:$N$106</c:f>
              <c:numCache>
                <c:formatCode>0.0%</c:formatCode>
                <c:ptCount val="104"/>
                <c:pt idx="0">
                  <c:v>-6.7658920259081795E-2</c:v>
                </c:pt>
                <c:pt idx="1">
                  <c:v>2.4925093485866899E-3</c:v>
                </c:pt>
                <c:pt idx="2">
                  <c:v>2.1173421957078099E-2</c:v>
                </c:pt>
                <c:pt idx="3">
                  <c:v>3.6156500348343001E-2</c:v>
                </c:pt>
                <c:pt idx="4">
                  <c:v>-3.3199537561094103E-2</c:v>
                </c:pt>
                <c:pt idx="5">
                  <c:v>-2.4023245639939697E-2</c:v>
                </c:pt>
                <c:pt idx="6">
                  <c:v>2.6594862402889402E-3</c:v>
                </c:pt>
                <c:pt idx="7">
                  <c:v>7.1222846693631799E-3</c:v>
                </c:pt>
                <c:pt idx="8">
                  <c:v>5.4440010212193302E-2</c:v>
                </c:pt>
                <c:pt idx="9">
                  <c:v>-2.38607625392806E-2</c:v>
                </c:pt>
                <c:pt idx="10">
                  <c:v>-3.42297161889221E-2</c:v>
                </c:pt>
                <c:pt idx="11">
                  <c:v>-4.3128639288061302E-3</c:v>
                </c:pt>
                <c:pt idx="12">
                  <c:v>1.0961346561582E-2</c:v>
                </c:pt>
                <c:pt idx="13">
                  <c:v>6.5815535253920098E-3</c:v>
                </c:pt>
                <c:pt idx="14">
                  <c:v>8.2667089892452005E-4</c:v>
                </c:pt>
                <c:pt idx="15">
                  <c:v>-3.0524742116368603E-2</c:v>
                </c:pt>
                <c:pt idx="16">
                  <c:v>2.5495201728230198E-3</c:v>
                </c:pt>
                <c:pt idx="17">
                  <c:v>3.5528197321222803E-2</c:v>
                </c:pt>
                <c:pt idx="18">
                  <c:v>1.15379142055332E-2</c:v>
                </c:pt>
                <c:pt idx="19">
                  <c:v>-2.4393560699930199E-2</c:v>
                </c:pt>
                <c:pt idx="20">
                  <c:v>-1.8272114067636E-2</c:v>
                </c:pt>
                <c:pt idx="21">
                  <c:v>9.0913532130148106E-3</c:v>
                </c:pt>
                <c:pt idx="22">
                  <c:v>1.1962729300815201E-2</c:v>
                </c:pt>
                <c:pt idx="23">
                  <c:v>5.0049207168759106E-3</c:v>
                </c:pt>
                <c:pt idx="24">
                  <c:v>4.0587942959932795E-3</c:v>
                </c:pt>
                <c:pt idx="25">
                  <c:v>-3.1466262772968899E-2</c:v>
                </c:pt>
                <c:pt idx="26">
                  <c:v>-1.49259302804414E-2</c:v>
                </c:pt>
                <c:pt idx="27">
                  <c:v>4.6912234219396901E-2</c:v>
                </c:pt>
                <c:pt idx="28">
                  <c:v>-2.0545342640239998E-2</c:v>
                </c:pt>
                <c:pt idx="29">
                  <c:v>-2.7175519760590898E-3</c:v>
                </c:pt>
                <c:pt idx="30">
                  <c:v>-7.1226168272236403E-3</c:v>
                </c:pt>
                <c:pt idx="31">
                  <c:v>1.2856903915974599E-2</c:v>
                </c:pt>
                <c:pt idx="32">
                  <c:v>1.38458525561421E-2</c:v>
                </c:pt>
                <c:pt idx="33">
                  <c:v>-3.1683368516282899E-3</c:v>
                </c:pt>
                <c:pt idx="34">
                  <c:v>1.4891901083455299E-2</c:v>
                </c:pt>
                <c:pt idx="35">
                  <c:v>2.4542039963391101E-2</c:v>
                </c:pt>
                <c:pt idx="36">
                  <c:v>-2.38158213713387E-2</c:v>
                </c:pt>
                <c:pt idx="37">
                  <c:v>-1.3507122218754199E-2</c:v>
                </c:pt>
                <c:pt idx="38">
                  <c:v>-2.3485443760302597E-2</c:v>
                </c:pt>
                <c:pt idx="39">
                  <c:v>2.5763142185626E-2</c:v>
                </c:pt>
                <c:pt idx="40">
                  <c:v>-4.8878677768212902E-3</c:v>
                </c:pt>
                <c:pt idx="41">
                  <c:v>-1.2034856074240801E-2</c:v>
                </c:pt>
                <c:pt idx="42">
                  <c:v>-9.213318351019701E-3</c:v>
                </c:pt>
                <c:pt idx="43">
                  <c:v>-3.5802904636597604E-2</c:v>
                </c:pt>
                <c:pt idx="44">
                  <c:v>2.2313980630228998E-2</c:v>
                </c:pt>
                <c:pt idx="45">
                  <c:v>2.4946280887485298E-2</c:v>
                </c:pt>
                <c:pt idx="46">
                  <c:v>1.91961610127966E-2</c:v>
                </c:pt>
                <c:pt idx="47">
                  <c:v>-6.00853682960278E-2</c:v>
                </c:pt>
                <c:pt idx="48">
                  <c:v>4.4723629140665307E-2</c:v>
                </c:pt>
                <c:pt idx="49">
                  <c:v>1.62460423122666E-2</c:v>
                </c:pt>
                <c:pt idx="50">
                  <c:v>-3.3650591215664404E-2</c:v>
                </c:pt>
                <c:pt idx="51">
                  <c:v>-3.6247261769416202E-3</c:v>
                </c:pt>
                <c:pt idx="52">
                  <c:v>9.4829130898515801E-3</c:v>
                </c:pt>
                <c:pt idx="53">
                  <c:v>2.2240700194037801E-3</c:v>
                </c:pt>
                <c:pt idx="54">
                  <c:v>1.8163361769038499E-2</c:v>
                </c:pt>
                <c:pt idx="55">
                  <c:v>-8.090340002845961E-3</c:v>
                </c:pt>
                <c:pt idx="56">
                  <c:v>-1.1196480285200301E-2</c:v>
                </c:pt>
                <c:pt idx="57">
                  <c:v>6.5181166348708894E-3</c:v>
                </c:pt>
                <c:pt idx="58">
                  <c:v>3.73017181392871E-2</c:v>
                </c:pt>
                <c:pt idx="59">
                  <c:v>-1.4451614109727499E-2</c:v>
                </c:pt>
                <c:pt idx="60">
                  <c:v>-1.47897252574931E-2</c:v>
                </c:pt>
                <c:pt idx="61">
                  <c:v>-5.3692406016174997E-4</c:v>
                </c:pt>
                <c:pt idx="62">
                  <c:v>2.9239069978653397E-2</c:v>
                </c:pt>
                <c:pt idx="63">
                  <c:v>-1.0694316319595601E-2</c:v>
                </c:pt>
                <c:pt idx="64">
                  <c:v>-4.9180923906345904E-3</c:v>
                </c:pt>
                <c:pt idx="65">
                  <c:v>-8.1458448479081198E-3</c:v>
                </c:pt>
                <c:pt idx="66">
                  <c:v>-1.9702900848260499E-2</c:v>
                </c:pt>
                <c:pt idx="67">
                  <c:v>1.7100072640844101E-2</c:v>
                </c:pt>
                <c:pt idx="68">
                  <c:v>4.2254791383650901E-3</c:v>
                </c:pt>
                <c:pt idx="69">
                  <c:v>-3.2063307504631199E-3</c:v>
                </c:pt>
                <c:pt idx="70">
                  <c:v>-4.90922045986874E-3</c:v>
                </c:pt>
                <c:pt idx="71">
                  <c:v>-5.7715949516781197E-3</c:v>
                </c:pt>
                <c:pt idx="72">
                  <c:v>1.1965809254492101E-3</c:v>
                </c:pt>
                <c:pt idx="73">
                  <c:v>3.3609484853326299E-3</c:v>
                </c:pt>
                <c:pt idx="74">
                  <c:v>-4.73725793072195E-3</c:v>
                </c:pt>
                <c:pt idx="75">
                  <c:v>2.9085722635567701E-3</c:v>
                </c:pt>
                <c:pt idx="76">
                  <c:v>9.3622952991689306E-3</c:v>
                </c:pt>
                <c:pt idx="77">
                  <c:v>1.8913722628444801E-2</c:v>
                </c:pt>
                <c:pt idx="78">
                  <c:v>1.7587948178490898E-2</c:v>
                </c:pt>
                <c:pt idx="79">
                  <c:v>2.5282063923950399E-2</c:v>
                </c:pt>
                <c:pt idx="80">
                  <c:v>-6.2710362637543898E-2</c:v>
                </c:pt>
                <c:pt idx="81">
                  <c:v>-2.18948615261375E-2</c:v>
                </c:pt>
                <c:pt idx="82">
                  <c:v>6.4246252617758404E-3</c:v>
                </c:pt>
                <c:pt idx="83">
                  <c:v>2.5242289488230697E-2</c:v>
                </c:pt>
                <c:pt idx="84">
                  <c:v>3.4011067543057202E-2</c:v>
                </c:pt>
                <c:pt idx="85">
                  <c:v>-2.8664335832143201E-2</c:v>
                </c:pt>
                <c:pt idx="86">
                  <c:v>-8.9342026248681507E-3</c:v>
                </c:pt>
                <c:pt idx="87">
                  <c:v>-9.1379120915438088E-3</c:v>
                </c:pt>
                <c:pt idx="88">
                  <c:v>-1.04600157096525E-2</c:v>
                </c:pt>
                <c:pt idx="89">
                  <c:v>1.93987202871953E-3</c:v>
                </c:pt>
                <c:pt idx="90">
                  <c:v>8.6612601744399994E-3</c:v>
                </c:pt>
                <c:pt idx="91">
                  <c:v>4.8733248340063302E-3</c:v>
                </c:pt>
                <c:pt idx="92">
                  <c:v>4.4816333740523798E-3</c:v>
                </c:pt>
                <c:pt idx="93">
                  <c:v>8.2614326598114789E-3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65-4A4C-BB49-02B136BF071A}"/>
            </c:ext>
          </c:extLst>
        </c:ser>
        <c:ser>
          <c:idx val="2"/>
          <c:order val="2"/>
          <c:tx>
            <c:strRef>
              <c:f>Quarter!$O$2</c:f>
              <c:strCache>
                <c:ptCount val="1"/>
                <c:pt idx="0">
                  <c:v>PF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Quarter!$K$3:$K$106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Quarter!$O$3:$O$106</c:f>
              <c:numCache>
                <c:formatCode>0.0%</c:formatCode>
                <c:ptCount val="104"/>
                <c:pt idx="0">
                  <c:v>-1.2313294298077E-2</c:v>
                </c:pt>
                <c:pt idx="1">
                  <c:v>-2.12183509338746E-3</c:v>
                </c:pt>
                <c:pt idx="2">
                  <c:v>-6.6027266225244293E-3</c:v>
                </c:pt>
                <c:pt idx="3">
                  <c:v>-1.06510446026083E-2</c:v>
                </c:pt>
                <c:pt idx="4">
                  <c:v>-2.8077278913323501E-2</c:v>
                </c:pt>
                <c:pt idx="5">
                  <c:v>-3.36910603837213E-2</c:v>
                </c:pt>
                <c:pt idx="6">
                  <c:v>-3.3201674392550798E-2</c:v>
                </c:pt>
                <c:pt idx="7">
                  <c:v>-3.9135386356909399E-2</c:v>
                </c:pt>
                <c:pt idx="8">
                  <c:v>-2.0797447431684601E-3</c:v>
                </c:pt>
                <c:pt idx="9">
                  <c:v>-3.3474184350356803E-2</c:v>
                </c:pt>
                <c:pt idx="10">
                  <c:v>-4.3963355172518502E-2</c:v>
                </c:pt>
                <c:pt idx="11">
                  <c:v>-4.1916400507981504E-2</c:v>
                </c:pt>
                <c:pt idx="12">
                  <c:v>7.3038073277510891E-3</c:v>
                </c:pt>
                <c:pt idx="13">
                  <c:v>3.76691103031192E-3</c:v>
                </c:pt>
                <c:pt idx="14">
                  <c:v>1.5610260652612902E-3</c:v>
                </c:pt>
                <c:pt idx="15">
                  <c:v>-6.4745153386772504E-3</c:v>
                </c:pt>
                <c:pt idx="16">
                  <c:v>7.6257884430889392E-2</c:v>
                </c:pt>
                <c:pt idx="17">
                  <c:v>9.0349095031515295E-2</c:v>
                </c:pt>
                <c:pt idx="18">
                  <c:v>8.7626486706122206E-2</c:v>
                </c:pt>
                <c:pt idx="19">
                  <c:v>8.24946906718802E-2</c:v>
                </c:pt>
                <c:pt idx="20">
                  <c:v>6.1575847063520699E-2</c:v>
                </c:pt>
                <c:pt idx="21">
                  <c:v>7.1004160952050296E-2</c:v>
                </c:pt>
                <c:pt idx="22">
                  <c:v>9.0966082338202095E-2</c:v>
                </c:pt>
                <c:pt idx="23">
                  <c:v>1.94383562646387E-2</c:v>
                </c:pt>
                <c:pt idx="24">
                  <c:v>1.14111835023064E-2</c:v>
                </c:pt>
                <c:pt idx="25">
                  <c:v>-4.0912203758595701E-2</c:v>
                </c:pt>
                <c:pt idx="26">
                  <c:v>-3.0250430861807499E-2</c:v>
                </c:pt>
                <c:pt idx="27">
                  <c:v>4.0370147373071499E-2</c:v>
                </c:pt>
                <c:pt idx="28">
                  <c:v>-4.4323789076764396E-2</c:v>
                </c:pt>
                <c:pt idx="29">
                  <c:v>-2.5322095432357101E-2</c:v>
                </c:pt>
                <c:pt idx="30">
                  <c:v>-2.7685687379059697E-2</c:v>
                </c:pt>
                <c:pt idx="31">
                  <c:v>3.38834698443725E-3</c:v>
                </c:pt>
                <c:pt idx="32">
                  <c:v>8.6980919208508797E-3</c:v>
                </c:pt>
                <c:pt idx="33">
                  <c:v>-1.7663387064041202E-2</c:v>
                </c:pt>
                <c:pt idx="34">
                  <c:v>-1.5100535500533E-2</c:v>
                </c:pt>
                <c:pt idx="35">
                  <c:v>-2.59653298201186E-2</c:v>
                </c:pt>
                <c:pt idx="36">
                  <c:v>-6.9014563480672808E-2</c:v>
                </c:pt>
                <c:pt idx="37">
                  <c:v>-5.6141913317721601E-2</c:v>
                </c:pt>
                <c:pt idx="38">
                  <c:v>-6.8728021132763994E-2</c:v>
                </c:pt>
                <c:pt idx="39">
                  <c:v>-1.6246255681793598E-2</c:v>
                </c:pt>
                <c:pt idx="40">
                  <c:v>-4.3020939882039005E-2</c:v>
                </c:pt>
                <c:pt idx="41">
                  <c:v>-4.1966903100156001E-2</c:v>
                </c:pt>
                <c:pt idx="42">
                  <c:v>-2.6134036239640102E-2</c:v>
                </c:pt>
                <c:pt idx="43">
                  <c:v>-4.0603433097604495E-2</c:v>
                </c:pt>
                <c:pt idx="44">
                  <c:v>3.3665845457260597E-2</c:v>
                </c:pt>
                <c:pt idx="45">
                  <c:v>3.7277356236446596E-2</c:v>
                </c:pt>
                <c:pt idx="46">
                  <c:v>3.3751991911816E-2</c:v>
                </c:pt>
                <c:pt idx="47">
                  <c:v>-4.8917149120934804E-2</c:v>
                </c:pt>
                <c:pt idx="48">
                  <c:v>5.6594905615056097E-2</c:v>
                </c:pt>
                <c:pt idx="49">
                  <c:v>9.3742394949144301E-3</c:v>
                </c:pt>
                <c:pt idx="50">
                  <c:v>-4.7540957659997905E-2</c:v>
                </c:pt>
                <c:pt idx="51">
                  <c:v>-8.7190859060708309E-3</c:v>
                </c:pt>
                <c:pt idx="52">
                  <c:v>1.0271235241327802E-2</c:v>
                </c:pt>
                <c:pt idx="53">
                  <c:v>3.8139867277473898E-3</c:v>
                </c:pt>
                <c:pt idx="54">
                  <c:v>2.12891809068693E-2</c:v>
                </c:pt>
                <c:pt idx="55">
                  <c:v>-1.50506858278319E-2</c:v>
                </c:pt>
                <c:pt idx="56">
                  <c:v>-1.4691049956275E-2</c:v>
                </c:pt>
                <c:pt idx="57">
                  <c:v>8.5814379628083096E-3</c:v>
                </c:pt>
                <c:pt idx="58">
                  <c:v>4.3555637220245504E-2</c:v>
                </c:pt>
                <c:pt idx="59">
                  <c:v>-2.0459652192773698E-2</c:v>
                </c:pt>
                <c:pt idx="60">
                  <c:v>-1.24504299042435E-2</c:v>
                </c:pt>
                <c:pt idx="61">
                  <c:v>-1.35888663192718E-3</c:v>
                </c:pt>
                <c:pt idx="62">
                  <c:v>2.8611671434758301E-2</c:v>
                </c:pt>
                <c:pt idx="63">
                  <c:v>-2.4274163225677298E-2</c:v>
                </c:pt>
                <c:pt idx="64">
                  <c:v>-1.1614385763072499E-2</c:v>
                </c:pt>
                <c:pt idx="65">
                  <c:v>-2.0841760775785499E-2</c:v>
                </c:pt>
                <c:pt idx="66">
                  <c:v>-3.2391782074692503E-2</c:v>
                </c:pt>
                <c:pt idx="67">
                  <c:v>1.8164482684802502E-2</c:v>
                </c:pt>
                <c:pt idx="68">
                  <c:v>8.2231937056312307E-3</c:v>
                </c:pt>
                <c:pt idx="69">
                  <c:v>6.4106209071400199E-3</c:v>
                </c:pt>
                <c:pt idx="70">
                  <c:v>1.1325146479907299E-2</c:v>
                </c:pt>
                <c:pt idx="71">
                  <c:v>1.2867032485891201E-2</c:v>
                </c:pt>
                <c:pt idx="72">
                  <c:v>2.1391685929228701E-2</c:v>
                </c:pt>
                <c:pt idx="73">
                  <c:v>3.01527852820722E-2</c:v>
                </c:pt>
                <c:pt idx="74">
                  <c:v>2.4659077162122699E-2</c:v>
                </c:pt>
                <c:pt idx="75">
                  <c:v>3.6681249883969001E-2</c:v>
                </c:pt>
                <c:pt idx="76">
                  <c:v>4.60405948755701E-2</c:v>
                </c:pt>
                <c:pt idx="77">
                  <c:v>5.1734294374595896E-2</c:v>
                </c:pt>
                <c:pt idx="78">
                  <c:v>3.1905693924757797E-2</c:v>
                </c:pt>
                <c:pt idx="79">
                  <c:v>1.67552023182767E-2</c:v>
                </c:pt>
                <c:pt idx="80">
                  <c:v>-9.4287132937053805E-2</c:v>
                </c:pt>
                <c:pt idx="81">
                  <c:v>-4.8637800842375206E-2</c:v>
                </c:pt>
                <c:pt idx="82">
                  <c:v>-6.3151823984363593E-3</c:v>
                </c:pt>
                <c:pt idx="83">
                  <c:v>3.1153287726530299E-2</c:v>
                </c:pt>
                <c:pt idx="84">
                  <c:v>3.9796279868621401E-2</c:v>
                </c:pt>
                <c:pt idx="85">
                  <c:v>-4.0350064193624399E-2</c:v>
                </c:pt>
                <c:pt idx="86">
                  <c:v>-3.2247364891332404E-2</c:v>
                </c:pt>
                <c:pt idx="87">
                  <c:v>-3.4439077953162298E-2</c:v>
                </c:pt>
                <c:pt idx="88">
                  <c:v>-3.4570149980120701E-2</c:v>
                </c:pt>
                <c:pt idx="89">
                  <c:v>-1.6016216236038203E-2</c:v>
                </c:pt>
                <c:pt idx="90">
                  <c:v>4.8827676626842396E-3</c:v>
                </c:pt>
                <c:pt idx="91">
                  <c:v>7.7940663294777304E-3</c:v>
                </c:pt>
                <c:pt idx="92">
                  <c:v>1.24709702978444E-2</c:v>
                </c:pt>
                <c:pt idx="93">
                  <c:v>2.2315647837708102E-2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65-4A4C-BB49-02B136BF071A}"/>
            </c:ext>
          </c:extLst>
        </c:ser>
        <c:ser>
          <c:idx val="3"/>
          <c:order val="3"/>
          <c:tx>
            <c:strRef>
              <c:f>Quarter!$P$2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Quarter!$K$3:$K$106</c:f>
              <c:numCache>
                <c:formatCode>General</c:formatCode>
                <c:ptCount val="104"/>
                <c:pt idx="0">
                  <c:v>2000</c:v>
                </c:pt>
                <c:pt idx="4">
                  <c:v>2001</c:v>
                </c:pt>
                <c:pt idx="8">
                  <c:v>2002</c:v>
                </c:pt>
                <c:pt idx="12">
                  <c:v>2003</c:v>
                </c:pt>
                <c:pt idx="16">
                  <c:v>2004</c:v>
                </c:pt>
                <c:pt idx="20">
                  <c:v>2005</c:v>
                </c:pt>
                <c:pt idx="24">
                  <c:v>2006</c:v>
                </c:pt>
                <c:pt idx="28">
                  <c:v>2007</c:v>
                </c:pt>
                <c:pt idx="32">
                  <c:v>2008</c:v>
                </c:pt>
                <c:pt idx="36">
                  <c:v>2009</c:v>
                </c:pt>
                <c:pt idx="40">
                  <c:v>2010</c:v>
                </c:pt>
                <c:pt idx="44">
                  <c:v>2011</c:v>
                </c:pt>
                <c:pt idx="48">
                  <c:v>2012</c:v>
                </c:pt>
                <c:pt idx="52">
                  <c:v>2013</c:v>
                </c:pt>
                <c:pt idx="56">
                  <c:v>2014</c:v>
                </c:pt>
                <c:pt idx="60">
                  <c:v>2015</c:v>
                </c:pt>
                <c:pt idx="64">
                  <c:v>2016</c:v>
                </c:pt>
                <c:pt idx="68">
                  <c:v>2017</c:v>
                </c:pt>
                <c:pt idx="72">
                  <c:v>2018</c:v>
                </c:pt>
                <c:pt idx="76">
                  <c:v>2019</c:v>
                </c:pt>
                <c:pt idx="80">
                  <c:v>2020</c:v>
                </c:pt>
                <c:pt idx="84">
                  <c:v>2021</c:v>
                </c:pt>
                <c:pt idx="88">
                  <c:v>2022</c:v>
                </c:pt>
                <c:pt idx="92">
                  <c:v>2023</c:v>
                </c:pt>
                <c:pt idx="96">
                  <c:v>2024</c:v>
                </c:pt>
                <c:pt idx="100">
                  <c:v>2025</c:v>
                </c:pt>
              </c:numCache>
            </c:numRef>
          </c:cat>
          <c:val>
            <c:numRef>
              <c:f>Quarter!$P$3:$P$106</c:f>
              <c:numCache>
                <c:formatCode>0.0%</c:formatCode>
                <c:ptCount val="104"/>
                <c:pt idx="0">
                  <c:v>-4.1046747730645365E-2</c:v>
                </c:pt>
                <c:pt idx="1">
                  <c:v>9.8145404408262454E-3</c:v>
                </c:pt>
                <c:pt idx="2">
                  <c:v>1.9174105182668787E-2</c:v>
                </c:pt>
                <c:pt idx="3">
                  <c:v>2.7833911290258268E-2</c:v>
                </c:pt>
                <c:pt idx="4">
                  <c:v>-2.9636996836135066E-2</c:v>
                </c:pt>
                <c:pt idx="5">
                  <c:v>-2.6057690969760228E-2</c:v>
                </c:pt>
                <c:pt idx="6">
                  <c:v>-6.6463307303507536E-3</c:v>
                </c:pt>
                <c:pt idx="7">
                  <c:v>-5.8458317353939056E-3</c:v>
                </c:pt>
                <c:pt idx="8">
                  <c:v>3.8946663309049646E-2</c:v>
                </c:pt>
                <c:pt idx="9">
                  <c:v>-3.1141460199280768E-2</c:v>
                </c:pt>
                <c:pt idx="10">
                  <c:v>-4.4867133524860464E-2</c:v>
                </c:pt>
                <c:pt idx="11">
                  <c:v>-2.4874664377207246E-2</c:v>
                </c:pt>
                <c:pt idx="12">
                  <c:v>2.858132118990326E-3</c:v>
                </c:pt>
                <c:pt idx="13">
                  <c:v>-3.6296697860072318E-4</c:v>
                </c:pt>
                <c:pt idx="14">
                  <c:v>-3.4686973154232303E-3</c:v>
                </c:pt>
                <c:pt idx="15">
                  <c:v>-2.6502591030235719E-2</c:v>
                </c:pt>
                <c:pt idx="16">
                  <c:v>2.6842442974435218E-2</c:v>
                </c:pt>
                <c:pt idx="17">
                  <c:v>5.5957138717070067E-2</c:v>
                </c:pt>
                <c:pt idx="18">
                  <c:v>3.7856621417548635E-2</c:v>
                </c:pt>
                <c:pt idx="19">
                  <c:v>9.6190355314149656E-3</c:v>
                </c:pt>
                <c:pt idx="20">
                  <c:v>6.125140983792801E-3</c:v>
                </c:pt>
                <c:pt idx="21">
                  <c:v>2.8985223138802637E-2</c:v>
                </c:pt>
                <c:pt idx="22">
                  <c:v>3.8420943611149637E-2</c:v>
                </c:pt>
                <c:pt idx="23">
                  <c:v>9.2924517275347045E-3</c:v>
                </c:pt>
                <c:pt idx="24">
                  <c:v>5.5821615496186965E-3</c:v>
                </c:pt>
                <c:pt idx="25">
                  <c:v>-3.6428221648631069E-2</c:v>
                </c:pt>
                <c:pt idx="26">
                  <c:v>-1.9781134659983133E-2</c:v>
                </c:pt>
                <c:pt idx="27">
                  <c:v>5.070460172205863E-2</c:v>
                </c:pt>
                <c:pt idx="28">
                  <c:v>-2.337733535406088E-2</c:v>
                </c:pt>
                <c:pt idx="29">
                  <c:v>-1.1265044976002635E-3</c:v>
                </c:pt>
                <c:pt idx="30">
                  <c:v>-3.5378279692441796E-3</c:v>
                </c:pt>
                <c:pt idx="31">
                  <c:v>2.315711415137572E-2</c:v>
                </c:pt>
                <c:pt idx="32">
                  <c:v>2.6556254275844165E-2</c:v>
                </c:pt>
                <c:pt idx="33">
                  <c:v>4.3624023021893686E-3</c:v>
                </c:pt>
                <c:pt idx="34">
                  <c:v>1.3531591020292064E-2</c:v>
                </c:pt>
                <c:pt idx="35">
                  <c:v>1.0283878558955899E-2</c:v>
                </c:pt>
                <c:pt idx="36">
                  <c:v>-4.6019048957843305E-2</c:v>
                </c:pt>
                <c:pt idx="37">
                  <c:v>-3.9825367201841634E-2</c:v>
                </c:pt>
                <c:pt idx="38">
                  <c:v>-5.5934394935071428E-2</c:v>
                </c:pt>
                <c:pt idx="39">
                  <c:v>-5.1186722244147666E-3</c:v>
                </c:pt>
                <c:pt idx="40">
                  <c:v>-3.7409852487761401E-2</c:v>
                </c:pt>
                <c:pt idx="41">
                  <c:v>-4.2265598046210773E-2</c:v>
                </c:pt>
                <c:pt idx="42">
                  <c:v>-3.2884932615334567E-2</c:v>
                </c:pt>
                <c:pt idx="43">
                  <c:v>-5.2459018857364398E-2</c:v>
                </c:pt>
                <c:pt idx="44">
                  <c:v>1.9734014073970706E-2</c:v>
                </c:pt>
                <c:pt idx="45">
                  <c:v>2.6613296864377366E-2</c:v>
                </c:pt>
                <c:pt idx="46">
                  <c:v>2.6085575038007635E-2</c:v>
                </c:pt>
                <c:pt idx="47">
                  <c:v>-5.7067261148569831E-2</c:v>
                </c:pt>
                <c:pt idx="48">
                  <c:v>5.3823633820932137E-2</c:v>
                </c:pt>
                <c:pt idx="49">
                  <c:v>1.7731335410236276E-2</c:v>
                </c:pt>
                <c:pt idx="50">
                  <c:v>-3.5198852258908737E-2</c:v>
                </c:pt>
                <c:pt idx="51">
                  <c:v>3.5990749232978303E-4</c:v>
                </c:pt>
                <c:pt idx="52">
                  <c:v>1.7971644131081294E-2</c:v>
                </c:pt>
                <c:pt idx="53">
                  <c:v>1.2889233411252024E-2</c:v>
                </c:pt>
                <c:pt idx="54">
                  <c:v>3.1652694401845864E-2</c:v>
                </c:pt>
                <c:pt idx="55">
                  <c:v>1.3938885264261805E-3</c:v>
                </c:pt>
                <c:pt idx="56">
                  <c:v>9.0860734125433371E-5</c:v>
                </c:pt>
                <c:pt idx="57">
                  <c:v>1.9569151493318667E-2</c:v>
                </c:pt>
                <c:pt idx="58">
                  <c:v>5.1930983325253137E-2</c:v>
                </c:pt>
                <c:pt idx="59">
                  <c:v>-8.8445460448541222E-3</c:v>
                </c:pt>
                <c:pt idx="60">
                  <c:v>-8.7964599580396732E-3</c:v>
                </c:pt>
                <c:pt idx="61">
                  <c:v>1.3154698736991268E-3</c:v>
                </c:pt>
                <c:pt idx="62">
                  <c:v>2.9771067685975369E-2</c:v>
                </c:pt>
                <c:pt idx="63">
                  <c:v>-1.9922502113492165E-2</c:v>
                </c:pt>
                <c:pt idx="64">
                  <c:v>-1.4740574300103197E-2</c:v>
                </c:pt>
                <c:pt idx="65">
                  <c:v>-2.2245342226702807E-2</c:v>
                </c:pt>
                <c:pt idx="66">
                  <c:v>-3.4683456077837967E-2</c:v>
                </c:pt>
                <c:pt idx="67">
                  <c:v>9.6021950457948185E-3</c:v>
                </c:pt>
                <c:pt idx="68">
                  <c:v>-1.750640016740727E-3</c:v>
                </c:pt>
                <c:pt idx="69">
                  <c:v>-6.1059707891719661E-3</c:v>
                </c:pt>
                <c:pt idx="70">
                  <c:v>-4.3294864175684802E-3</c:v>
                </c:pt>
                <c:pt idx="71">
                  <c:v>-2.3513417628417393E-3</c:v>
                </c:pt>
                <c:pt idx="72">
                  <c:v>8.386156553787584E-3</c:v>
                </c:pt>
                <c:pt idx="73">
                  <c:v>1.6478311931994311E-2</c:v>
                </c:pt>
                <c:pt idx="74">
                  <c:v>1.2685711591159851E-2</c:v>
                </c:pt>
                <c:pt idx="75">
                  <c:v>2.5646738975683789E-2</c:v>
                </c:pt>
                <c:pt idx="76">
                  <c:v>3.5270145844851775E-2</c:v>
                </c:pt>
                <c:pt idx="77">
                  <c:v>4.3336021455424166E-2</c:v>
                </c:pt>
                <c:pt idx="78">
                  <c:v>3.0559109081562133E-2</c:v>
                </c:pt>
                <c:pt idx="79">
                  <c:v>2.5041127702919663E-2</c:v>
                </c:pt>
                <c:pt idx="80">
                  <c:v>-8.0467248376097575E-2</c:v>
                </c:pt>
                <c:pt idx="81">
                  <c:v>-3.7527964563291306E-2</c:v>
                </c:pt>
                <c:pt idx="82">
                  <c:v>-2.5360217507253563E-3</c:v>
                </c:pt>
                <c:pt idx="83">
                  <c:v>2.4939248702030865E-2</c:v>
                </c:pt>
                <c:pt idx="84">
                  <c:v>3.4102511607618735E-2</c:v>
                </c:pt>
                <c:pt idx="85">
                  <c:v>-4.0141551404236496E-2</c:v>
                </c:pt>
                <c:pt idx="86">
                  <c:v>-2.5759769884163352E-2</c:v>
                </c:pt>
                <c:pt idx="87">
                  <c:v>-2.7648888467622566E-2</c:v>
                </c:pt>
                <c:pt idx="88">
                  <c:v>-2.6343705877830099E-2</c:v>
                </c:pt>
                <c:pt idx="89">
                  <c:v>-7.7148911811163144E-3</c:v>
                </c:pt>
                <c:pt idx="90">
                  <c:v>7.7633991935385669E-3</c:v>
                </c:pt>
                <c:pt idx="91">
                  <c:v>8.9138870059143546E-3</c:v>
                </c:pt>
                <c:pt idx="92">
                  <c:v>1.1360494629058126E-2</c:v>
                </c:pt>
                <c:pt idx="93">
                  <c:v>1.7018207241371926E-2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D7-4010-8A6C-9C81E8EC9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PMI - Subcomponents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Quarter!$U$2</c:f>
              <c:strCache>
                <c:ptCount val="1"/>
                <c:pt idx="0">
                  <c:v>New orders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Quarter!$U$87:$U$106</c:f>
              <c:numCache>
                <c:formatCode>_(* #,##0.0_);_(* \(#,##0.0\);_(* "-"??_);_(@_)</c:formatCode>
                <c:ptCount val="20"/>
                <c:pt idx="0">
                  <c:v>29.418966994604411</c:v>
                </c:pt>
                <c:pt idx="1">
                  <c:v>40.84126459501887</c:v>
                </c:pt>
                <c:pt idx="2">
                  <c:v>46.02783040494306</c:v>
                </c:pt>
                <c:pt idx="3">
                  <c:v>46.861500589003505</c:v>
                </c:pt>
                <c:pt idx="4">
                  <c:v>38.041092638720244</c:v>
                </c:pt>
                <c:pt idx="5">
                  <c:v>45.673139314941366</c:v>
                </c:pt>
                <c:pt idx="6">
                  <c:v>45.10669820487432</c:v>
                </c:pt>
                <c:pt idx="7">
                  <c:v>47.808097016590963</c:v>
                </c:pt>
                <c:pt idx="8">
                  <c:v>48.86101126391695</c:v>
                </c:pt>
                <c:pt idx="9">
                  <c:v>54.198307406428512</c:v>
                </c:pt>
                <c:pt idx="10">
                  <c:v>55.184132436857311</c:v>
                </c:pt>
                <c:pt idx="11">
                  <c:v>58.329263353649075</c:v>
                </c:pt>
                <c:pt idx="12">
                  <c:v>53.425880970946451</c:v>
                </c:pt>
                <c:pt idx="13">
                  <c:v>51.289715620034336</c:v>
                </c:pt>
                <c:pt idx="14">
                  <c:v>49.100900284865396</c:v>
                </c:pt>
                <c:pt idx="15">
                  <c:v>50.547279289928348</c:v>
                </c:pt>
                <c:pt idx="16">
                  <c:v>39.944079076337843</c:v>
                </c:pt>
                <c:pt idx="17">
                  <c:v>41.47232294827068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F94-4FBD-BDDE-F393CED8FAE8}"/>
            </c:ext>
          </c:extLst>
        </c:ser>
        <c:ser>
          <c:idx val="1"/>
          <c:order val="1"/>
          <c:tx>
            <c:strRef>
              <c:f>Quarter!$V$2</c:f>
              <c:strCache>
                <c:ptCount val="1"/>
                <c:pt idx="0">
                  <c:v>Output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Quarter!$V$87:$V$106</c:f>
              <c:numCache>
                <c:formatCode>_(* #,##0.0_);_(* \(#,##0.0\);_(* "-"??_);_(@_)</c:formatCode>
                <c:ptCount val="20"/>
                <c:pt idx="0">
                  <c:v>28.244046428640651</c:v>
                </c:pt>
                <c:pt idx="1">
                  <c:v>41.461770105451279</c:v>
                </c:pt>
                <c:pt idx="2">
                  <c:v>44.740206940460212</c:v>
                </c:pt>
                <c:pt idx="3">
                  <c:v>43.542492884220643</c:v>
                </c:pt>
                <c:pt idx="4">
                  <c:v>37.638706227469257</c:v>
                </c:pt>
                <c:pt idx="5">
                  <c:v>48.308145493385595</c:v>
                </c:pt>
                <c:pt idx="6">
                  <c:v>46.540209418300279</c:v>
                </c:pt>
                <c:pt idx="7">
                  <c:v>51.594781320821049</c:v>
                </c:pt>
                <c:pt idx="8">
                  <c:v>53.461942522663307</c:v>
                </c:pt>
                <c:pt idx="9">
                  <c:v>58.291160064658513</c:v>
                </c:pt>
                <c:pt idx="10">
                  <c:v>58.233321654793414</c:v>
                </c:pt>
                <c:pt idx="11">
                  <c:v>60.842441118682565</c:v>
                </c:pt>
                <c:pt idx="12">
                  <c:v>55.330112310272028</c:v>
                </c:pt>
                <c:pt idx="13">
                  <c:v>61.428848441844011</c:v>
                </c:pt>
                <c:pt idx="14">
                  <c:v>56.637768343489839</c:v>
                </c:pt>
                <c:pt idx="15">
                  <c:v>56.70240795277698</c:v>
                </c:pt>
                <c:pt idx="16">
                  <c:v>40.683370324261126</c:v>
                </c:pt>
                <c:pt idx="17">
                  <c:v>42.815992867476012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4-4FBD-BDDE-F393CED8FAE8}"/>
            </c:ext>
          </c:extLst>
        </c:ser>
        <c:ser>
          <c:idx val="2"/>
          <c:order val="2"/>
          <c:tx>
            <c:strRef>
              <c:f>Quarter!$W$2</c:f>
              <c:strCache>
                <c:ptCount val="1"/>
                <c:pt idx="0">
                  <c:v>Employment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Quarter!$W$87:$W$106</c:f>
              <c:numCache>
                <c:formatCode>_(* #,##0.0_);_(* \(#,##0.0\);_(* "-"??_);_(@_)</c:formatCode>
                <c:ptCount val="20"/>
                <c:pt idx="0">
                  <c:v>46.573539020997892</c:v>
                </c:pt>
                <c:pt idx="1">
                  <c:v>48.858982940760797</c:v>
                </c:pt>
                <c:pt idx="2">
                  <c:v>45.434595784710105</c:v>
                </c:pt>
                <c:pt idx="3">
                  <c:v>49.865030143854568</c:v>
                </c:pt>
                <c:pt idx="4">
                  <c:v>49.480563667771563</c:v>
                </c:pt>
                <c:pt idx="5">
                  <c:v>51.267610079838178</c:v>
                </c:pt>
                <c:pt idx="6">
                  <c:v>48.870815608050087</c:v>
                </c:pt>
                <c:pt idx="7">
                  <c:v>49.419999146656103</c:v>
                </c:pt>
                <c:pt idx="8">
                  <c:v>52.321137458168543</c:v>
                </c:pt>
                <c:pt idx="9">
                  <c:v>45.757937645015659</c:v>
                </c:pt>
                <c:pt idx="10">
                  <c:v>46.91251271223782</c:v>
                </c:pt>
                <c:pt idx="11">
                  <c:v>56.260922311580451</c:v>
                </c:pt>
                <c:pt idx="12">
                  <c:v>57.622879403597793</c:v>
                </c:pt>
                <c:pt idx="13">
                  <c:v>51.655272620945837</c:v>
                </c:pt>
                <c:pt idx="14">
                  <c:v>51.915772039357066</c:v>
                </c:pt>
                <c:pt idx="15">
                  <c:v>53.204861013160162</c:v>
                </c:pt>
                <c:pt idx="16">
                  <c:v>49.52971454348647</c:v>
                </c:pt>
                <c:pt idx="17">
                  <c:v>47.736238875536621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4-4FBD-BDDE-F393CED8FAE8}"/>
            </c:ext>
          </c:extLst>
        </c:ser>
        <c:ser>
          <c:idx val="3"/>
          <c:order val="3"/>
          <c:tx>
            <c:strRef>
              <c:f>Quarter!$X$2</c:f>
              <c:strCache>
                <c:ptCount val="1"/>
                <c:pt idx="0">
                  <c:v>Suppliers' delivery times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Quarter!$X$87:$X$106</c:f>
              <c:numCache>
                <c:formatCode>_(* #,##0.0_);_(* \(#,##0.0\);_(* "-"??_);_(@_)</c:formatCode>
                <c:ptCount val="20"/>
                <c:pt idx="0">
                  <c:v>37.319888769354911</c:v>
                </c:pt>
                <c:pt idx="1">
                  <c:v>29.857898747272028</c:v>
                </c:pt>
                <c:pt idx="2">
                  <c:v>31.927092024896954</c:v>
                </c:pt>
                <c:pt idx="3">
                  <c:v>23.639719959489273</c:v>
                </c:pt>
                <c:pt idx="4">
                  <c:v>18.523745947956794</c:v>
                </c:pt>
                <c:pt idx="5">
                  <c:v>44.23998156149058</c:v>
                </c:pt>
                <c:pt idx="6">
                  <c:v>40.318174980277718</c:v>
                </c:pt>
                <c:pt idx="7">
                  <c:v>46.867782513995024</c:v>
                </c:pt>
                <c:pt idx="8">
                  <c:v>48.832532415788386</c:v>
                </c:pt>
                <c:pt idx="9">
                  <c:v>47.105563480221015</c:v>
                </c:pt>
                <c:pt idx="10">
                  <c:v>46.809629723399183</c:v>
                </c:pt>
                <c:pt idx="11">
                  <c:v>49.584898496529384</c:v>
                </c:pt>
                <c:pt idx="12">
                  <c:v>44.964595494817537</c:v>
                </c:pt>
                <c:pt idx="13">
                  <c:v>40.655436093965967</c:v>
                </c:pt>
                <c:pt idx="14">
                  <c:v>41.772992683570884</c:v>
                </c:pt>
                <c:pt idx="15">
                  <c:v>47.206103030123288</c:v>
                </c:pt>
                <c:pt idx="16">
                  <c:v>52.172782004769402</c:v>
                </c:pt>
                <c:pt idx="17">
                  <c:v>47.685226985879268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94-4FBD-BDDE-F393CED8FAE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  <c:extLst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495773833355576E-2"/>
          <c:y val="0.83150810015829812"/>
          <c:w val="0.94926553672316383"/>
          <c:h val="0.150205756063722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PMI</a:t>
            </a:r>
            <a:r>
              <a:rPr lang="en-GB" baseline="0"/>
              <a:t> - </a:t>
            </a:r>
            <a:r>
              <a:rPr lang="en-US" baseline="0"/>
              <a:t>Sectors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Quarter!$Z$2</c:f>
              <c:strCache>
                <c:ptCount val="1"/>
                <c:pt idx="0">
                  <c:v>Manufacturing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Quarter!$Z$87:$Z$106</c:f>
              <c:numCache>
                <c:formatCode>_(* #,##0.0_);_(* \(#,##0.0\);_(* "-"??_);_(@_)</c:formatCode>
                <c:ptCount val="20"/>
                <c:pt idx="0">
                  <c:v>40.227056096759142</c:v>
                </c:pt>
                <c:pt idx="1">
                  <c:v>44.243353762897371</c:v>
                </c:pt>
                <c:pt idx="2">
                  <c:v>46.184005771557061</c:v>
                </c:pt>
                <c:pt idx="3">
                  <c:v>44.452879038622953</c:v>
                </c:pt>
                <c:pt idx="4">
                  <c:v>35.626438101461147</c:v>
                </c:pt>
                <c:pt idx="5">
                  <c:v>45.852789626731358</c:v>
                </c:pt>
                <c:pt idx="6">
                  <c:v>46.880518810334245</c:v>
                </c:pt>
                <c:pt idx="7">
                  <c:v>53.093464741891225</c:v>
                </c:pt>
                <c:pt idx="8">
                  <c:v>50.21175914663629</c:v>
                </c:pt>
                <c:pt idx="9">
                  <c:v>52.557933896010503</c:v>
                </c:pt>
                <c:pt idx="10">
                  <c:v>54.090218474154192</c:v>
                </c:pt>
                <c:pt idx="11">
                  <c:v>59.29410801420115</c:v>
                </c:pt>
                <c:pt idx="12">
                  <c:v>55.150609737351999</c:v>
                </c:pt>
                <c:pt idx="13">
                  <c:v>49.912895376679529</c:v>
                </c:pt>
                <c:pt idx="14">
                  <c:v>48.929585096176474</c:v>
                </c:pt>
                <c:pt idx="15">
                  <c:v>54.209709797282116</c:v>
                </c:pt>
                <c:pt idx="16">
                  <c:v>45.620164607365595</c:v>
                </c:pt>
                <c:pt idx="17">
                  <c:v>49.658640791057977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9-4F35-9E4E-B38531E1BA70}"/>
            </c:ext>
          </c:extLst>
        </c:ser>
        <c:ser>
          <c:idx val="1"/>
          <c:order val="1"/>
          <c:tx>
            <c:strRef>
              <c:f>Quarter!$AA$2</c:f>
              <c:strCache>
                <c:ptCount val="1"/>
                <c:pt idx="0">
                  <c:v>Construction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Quarter!$AA$87:$AA$106</c:f>
              <c:numCache>
                <c:formatCode>_(* #,##0.0_);_(* \(#,##0.0\);_(* "-"??_);_(@_)</c:formatCode>
                <c:ptCount val="20"/>
                <c:pt idx="0">
                  <c:v>28.746206972915456</c:v>
                </c:pt>
                <c:pt idx="1">
                  <c:v>37.407327506333779</c:v>
                </c:pt>
                <c:pt idx="2">
                  <c:v>36.095705943794407</c:v>
                </c:pt>
                <c:pt idx="3">
                  <c:v>30.748169375502794</c:v>
                </c:pt>
                <c:pt idx="4">
                  <c:v>36.859077381298739</c:v>
                </c:pt>
                <c:pt idx="5">
                  <c:v>35.046907738409729</c:v>
                </c:pt>
                <c:pt idx="6">
                  <c:v>35.921809849138093</c:v>
                </c:pt>
                <c:pt idx="7">
                  <c:v>30.383451652389599</c:v>
                </c:pt>
                <c:pt idx="8">
                  <c:v>47.443730199844161</c:v>
                </c:pt>
                <c:pt idx="9">
                  <c:v>44.85105959097536</c:v>
                </c:pt>
                <c:pt idx="10">
                  <c:v>39.049762986178713</c:v>
                </c:pt>
                <c:pt idx="11">
                  <c:v>44.958220819121784</c:v>
                </c:pt>
                <c:pt idx="12">
                  <c:v>47.844941009925357</c:v>
                </c:pt>
                <c:pt idx="13">
                  <c:v>48.970664805832463</c:v>
                </c:pt>
                <c:pt idx="14">
                  <c:v>43.25988755459538</c:v>
                </c:pt>
                <c:pt idx="15">
                  <c:v>46.77894785458615</c:v>
                </c:pt>
                <c:pt idx="16">
                  <c:v>41.351307717445081</c:v>
                </c:pt>
                <c:pt idx="17">
                  <c:v>43.166729598551157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9-4F35-9E4E-B38531E1BA70}"/>
            </c:ext>
          </c:extLst>
        </c:ser>
        <c:ser>
          <c:idx val="2"/>
          <c:order val="2"/>
          <c:tx>
            <c:strRef>
              <c:f>Quarter!$AB$2</c:f>
              <c:strCache>
                <c:ptCount val="1"/>
                <c:pt idx="0">
                  <c:v>Retail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Quarter!$AB$87:$AB$106</c:f>
              <c:numCache>
                <c:formatCode>_(* #,##0.0_);_(* \(#,##0.0\);_(* "-"??_);_(@_)</c:formatCode>
                <c:ptCount val="20"/>
                <c:pt idx="0">
                  <c:v>31.908303112300583</c:v>
                </c:pt>
                <c:pt idx="1">
                  <c:v>37.504940080022223</c:v>
                </c:pt>
                <c:pt idx="2">
                  <c:v>41.709740184747716</c:v>
                </c:pt>
                <c:pt idx="3">
                  <c:v>42.573257671851927</c:v>
                </c:pt>
                <c:pt idx="4">
                  <c:v>35.053707943347774</c:v>
                </c:pt>
                <c:pt idx="5">
                  <c:v>45.435578665262035</c:v>
                </c:pt>
                <c:pt idx="6">
                  <c:v>38.246572584760827</c:v>
                </c:pt>
                <c:pt idx="7">
                  <c:v>42.486968458719502</c:v>
                </c:pt>
                <c:pt idx="8">
                  <c:v>56.185910964943716</c:v>
                </c:pt>
                <c:pt idx="9">
                  <c:v>50.371233790756484</c:v>
                </c:pt>
                <c:pt idx="10">
                  <c:v>52.433831987005441</c:v>
                </c:pt>
                <c:pt idx="11">
                  <c:v>49.969972332809256</c:v>
                </c:pt>
                <c:pt idx="12">
                  <c:v>49.142192435445594</c:v>
                </c:pt>
                <c:pt idx="13">
                  <c:v>54.370986662051713</c:v>
                </c:pt>
                <c:pt idx="14">
                  <c:v>52.246062732650586</c:v>
                </c:pt>
                <c:pt idx="15">
                  <c:v>49.176115806043356</c:v>
                </c:pt>
                <c:pt idx="16">
                  <c:v>39.044326116534748</c:v>
                </c:pt>
                <c:pt idx="17">
                  <c:v>43.346318935698378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9-4F35-9E4E-B38531E1BA70}"/>
            </c:ext>
          </c:extLst>
        </c:ser>
        <c:ser>
          <c:idx val="3"/>
          <c:order val="3"/>
          <c:tx>
            <c:strRef>
              <c:f>Quarter!$AC$2</c:f>
              <c:strCache>
                <c:ptCount val="1"/>
                <c:pt idx="0">
                  <c:v>Service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Quarter!$K$87:$K$106</c:f>
              <c:numCache>
                <c:formatCode>General</c:formatCode>
                <c:ptCount val="20"/>
                <c:pt idx="0">
                  <c:v>2021</c:v>
                </c:pt>
                <c:pt idx="4">
                  <c:v>2022</c:v>
                </c:pt>
                <c:pt idx="8">
                  <c:v>2023</c:v>
                </c:pt>
                <c:pt idx="12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Quarter!$AC$87:$AC$106</c:f>
              <c:numCache>
                <c:formatCode>_(* #,##0.0_);_(* \(#,##0.0\);_(* "-"??_);_(@_)</c:formatCode>
                <c:ptCount val="20"/>
                <c:pt idx="0">
                  <c:v>28.940144341964597</c:v>
                </c:pt>
                <c:pt idx="1">
                  <c:v>39.037226233235081</c:v>
                </c:pt>
                <c:pt idx="2">
                  <c:v>40.708777885987594</c:v>
                </c:pt>
                <c:pt idx="3">
                  <c:v>40.443554939732081</c:v>
                </c:pt>
                <c:pt idx="4">
                  <c:v>39.084199074885426</c:v>
                </c:pt>
                <c:pt idx="5">
                  <c:v>50.490893144792452</c:v>
                </c:pt>
                <c:pt idx="6">
                  <c:v>46.414536258017556</c:v>
                </c:pt>
                <c:pt idx="7">
                  <c:v>46.850534316668771</c:v>
                </c:pt>
                <c:pt idx="8">
                  <c:v>50.476457390223359</c:v>
                </c:pt>
                <c:pt idx="9">
                  <c:v>53.5902071578044</c:v>
                </c:pt>
                <c:pt idx="10">
                  <c:v>53.113801491758004</c:v>
                </c:pt>
                <c:pt idx="11">
                  <c:v>57.359685404272199</c:v>
                </c:pt>
                <c:pt idx="12">
                  <c:v>54.543067814185534</c:v>
                </c:pt>
                <c:pt idx="13">
                  <c:v>55.161663961571151</c:v>
                </c:pt>
                <c:pt idx="14">
                  <c:v>53.267363402446101</c:v>
                </c:pt>
                <c:pt idx="15">
                  <c:v>52.582371792554419</c:v>
                </c:pt>
                <c:pt idx="16">
                  <c:v>45.839083581797716</c:v>
                </c:pt>
                <c:pt idx="17">
                  <c:v>40.341328209866553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49-4F35-9E4E-B38531E1B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PMI - General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Quarter!$T$2</c:f>
              <c:strCache>
                <c:ptCount val="1"/>
                <c:pt idx="0">
                  <c:v>General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Quarter!$K$87:$L$106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Quarter!$T$87:$T$106</c:f>
              <c:numCache>
                <c:formatCode>_(* #,##0.0_);_(* \(#,##0.0\);_(* "-"??_);_(@_)</c:formatCode>
                <c:ptCount val="20"/>
                <c:pt idx="0">
                  <c:v>34.564727968377731</c:v>
                </c:pt>
                <c:pt idx="1">
                  <c:v>41.334684620338422</c:v>
                </c:pt>
                <c:pt idx="2">
                  <c:v>43.170849390958331</c:v>
                </c:pt>
                <c:pt idx="3">
                  <c:v>41.765103849581322</c:v>
                </c:pt>
                <c:pt idx="4">
                  <c:v>36.754446044929566</c:v>
                </c:pt>
                <c:pt idx="5">
                  <c:v>46.915411914839801</c:v>
                </c:pt>
                <c:pt idx="6">
                  <c:v>44.920395816083278</c:v>
                </c:pt>
                <c:pt idx="7">
                  <c:v>48.240289508302823</c:v>
                </c:pt>
                <c:pt idx="8">
                  <c:v>50.975410846090185</c:v>
                </c:pt>
                <c:pt idx="9">
                  <c:v>52.313711147842398</c:v>
                </c:pt>
                <c:pt idx="10">
                  <c:v>52.843862500593808</c:v>
                </c:pt>
                <c:pt idx="11">
                  <c:v>56.49379554137348</c:v>
                </c:pt>
                <c:pt idx="12">
                  <c:v>54.179399940606785</c:v>
                </c:pt>
                <c:pt idx="13">
                  <c:v>52.325483714526911</c:v>
                </c:pt>
                <c:pt idx="14">
                  <c:v>50.731602876996163</c:v>
                </c:pt>
                <c:pt idx="15">
                  <c:v>52.865149727436425</c:v>
                </c:pt>
                <c:pt idx="16">
                  <c:v>44.809501149994844</c:v>
                </c:pt>
                <c:pt idx="17">
                  <c:v>45.34316474393588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4-4FBD-BDDE-F393CED8F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802800"/>
        <c:axId val="405795120"/>
      </c:lineChart>
      <c:lineChart>
        <c:grouping val="standard"/>
        <c:varyColors val="0"/>
        <c:ser>
          <c:idx val="1"/>
          <c:order val="1"/>
          <c:tx>
            <c:strRef>
              <c:f>Quarter!$AM$2</c:f>
              <c:strCache>
                <c:ptCount val="1"/>
                <c:pt idx="0">
                  <c:v>Real GDP Growth, YoY (r.a)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Quarter!$K$87:$L$106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  <c:pt idx="8">
                    <c:v>2023</c:v>
                  </c:pt>
                  <c:pt idx="12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Quarter!$AM$87:$AM$106</c:f>
              <c:numCache>
                <c:formatCode>0.0%</c:formatCode>
                <c:ptCount val="20"/>
                <c:pt idx="0">
                  <c:v>0.14824732387070827</c:v>
                </c:pt>
                <c:pt idx="1">
                  <c:v>6.2939497198068795E-2</c:v>
                </c:pt>
                <c:pt idx="2">
                  <c:v>3.712629538870571E-2</c:v>
                </c:pt>
                <c:pt idx="3">
                  <c:v>1.6367695902793189E-2</c:v>
                </c:pt>
                <c:pt idx="4">
                  <c:v>-3.8095553121449521E-2</c:v>
                </c:pt>
                <c:pt idx="5">
                  <c:v>2.0191391447204721E-2</c:v>
                </c:pt>
                <c:pt idx="6">
                  <c:v>3.8492263050780684E-2</c:v>
                </c:pt>
                <c:pt idx="7">
                  <c:v>5.0327097296992029E-2</c:v>
                </c:pt>
                <c:pt idx="8">
                  <c:v>7.9735216062331471E-2</c:v>
                </c:pt>
                <c:pt idx="9">
                  <c:v>6.6594586999599414E-2</c:v>
                </c:pt>
                <c:pt idx="10">
                  <c:v>7.2191739734628113E-2</c:v>
                </c:pt>
                <c:pt idx="11">
                  <c:v>7.4221129488150961E-2</c:v>
                </c:pt>
                <c:pt idx="12">
                  <c:v>8.0708416482277556E-2</c:v>
                </c:pt>
                <c:pt idx="13">
                  <c:v>5.7450259976725482E-2</c:v>
                </c:pt>
                <c:pt idx="14">
                  <c:v>5.2369533136486401E-2</c:v>
                </c:pt>
                <c:pt idx="15">
                  <c:v>5.1220452079246748E-2</c:v>
                </c:pt>
                <c:pt idx="16">
                  <c:v>2.642053784177345E-2</c:v>
                </c:pt>
                <c:pt idx="17">
                  <c:v>5.6194992525171683E-2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7-40E5-9865-18A6D5241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106127"/>
        <c:axId val="1780105647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  <c:min val="3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valAx>
        <c:axId val="1780105647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80106127"/>
        <c:crosses val="max"/>
        <c:crossBetween val="between"/>
      </c:valAx>
      <c:catAx>
        <c:axId val="1780106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01056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Quarter!$AD$1</c:f>
          <c:strCache>
            <c:ptCount val="1"/>
            <c:pt idx="0">
              <c:v>Economic Indicators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Quarter!$AD$2</c:f>
              <c:strCache>
                <c:ptCount val="1"/>
                <c:pt idx="0">
                  <c:v>Economic Sentiment Index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Quarter!$K$87:$K$106</c15:sqref>
                  </c15:fullRef>
                </c:ext>
              </c:extLst>
              <c:f>Quarter!$K$91:$K$106</c:f>
              <c:numCache>
                <c:formatCode>General</c:formatCode>
                <c:ptCount val="16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Quarter!$AD$87:$AD$106</c15:sqref>
                  </c15:fullRef>
                </c:ext>
              </c:extLst>
              <c:f>Quarter!$AD$91:$AD$106</c:f>
              <c:numCache>
                <c:formatCode>General</c:formatCode>
                <c:ptCount val="16"/>
                <c:pt idx="0" formatCode="_(* #,##0.0_);_(* \(#,##0.0\);_(* &quot;-&quot;??_);_(@_)">
                  <c:v>103.48211518561132</c:v>
                </c:pt>
                <c:pt idx="1" formatCode="_(* #,##0.0_);_(* \(#,##0.0\);_(* &quot;-&quot;??_);_(@_)">
                  <c:v>94.478759292358717</c:v>
                </c:pt>
                <c:pt idx="2" formatCode="_(* #,##0.0_);_(* \(#,##0.0\);_(* &quot;-&quot;??_);_(@_)">
                  <c:v>91.435207843890566</c:v>
                </c:pt>
                <c:pt idx="3" formatCode="_(* #,##0.0_);_(* \(#,##0.0\);_(* &quot;-&quot;??_);_(@_)">
                  <c:v>95.100391614815962</c:v>
                </c:pt>
                <c:pt idx="4" formatCode="_(* #,##0.0_);_(* \(#,##0.0\);_(* &quot;-&quot;??_);_(@_)">
                  <c:v>105.12925545756318</c:v>
                </c:pt>
                <c:pt idx="5" formatCode="_(* #,##0.0_);_(* \(#,##0.0\);_(* &quot;-&quot;??_);_(@_)">
                  <c:v>107.82159903777851</c:v>
                </c:pt>
                <c:pt idx="6" formatCode="_(* #,##0.0_);_(* \(#,##0.0\);_(* &quot;-&quot;??_);_(@_)">
                  <c:v>109.27468601356971</c:v>
                </c:pt>
                <c:pt idx="7" formatCode="_(* #,##0.0_);_(* \(#,##0.0\);_(* &quot;-&quot;??_);_(@_)">
                  <c:v>108.34144658993317</c:v>
                </c:pt>
                <c:pt idx="8" formatCode="_(* #,##0.0_);_(* \(#,##0.0\);_(* &quot;-&quot;??_);_(@_)">
                  <c:v>109.49922716465818</c:v>
                </c:pt>
                <c:pt idx="9" formatCode="_(* #,##0.0_);_(* \(#,##0.0\);_(* &quot;-&quot;??_);_(@_)">
                  <c:v>105.7906739473309</c:v>
                </c:pt>
                <c:pt idx="10" formatCode="_(* #,##0.0_);_(* \(#,##0.0\);_(* &quot;-&quot;??_);_(@_)">
                  <c:v>99.883330195203655</c:v>
                </c:pt>
                <c:pt idx="11" formatCode="_(* #,##0.0_);_(* \(#,##0.0\);_(* &quot;-&quot;??_);_(@_)">
                  <c:v>98.665358824014476</c:v>
                </c:pt>
                <c:pt idx="12" formatCode="_(* #,##0.0_);_(* \(#,##0.0\);_(* &quot;-&quot;??_);_(@_)">
                  <c:v>90.396099041314315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9C-4D66-B636-72B1CFA8361F}"/>
            </c:ext>
          </c:extLst>
        </c:ser>
        <c:ser>
          <c:idx val="1"/>
          <c:order val="1"/>
          <c:tx>
            <c:strRef>
              <c:f>Quarter!$AE$2</c:f>
              <c:strCache>
                <c:ptCount val="1"/>
                <c:pt idx="0">
                  <c:v>Employment Expectation Index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Quarter!$K$87:$K$106</c15:sqref>
                  </c15:fullRef>
                </c:ext>
              </c:extLst>
              <c:f>Quarter!$K$91:$K$106</c:f>
              <c:numCache>
                <c:formatCode>General</c:formatCode>
                <c:ptCount val="16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Quarter!$AE$87:$AE$106</c15:sqref>
                  </c15:fullRef>
                </c:ext>
              </c:extLst>
              <c:f>Quarter!$AE$91:$AE$106</c:f>
              <c:numCache>
                <c:formatCode>General</c:formatCode>
                <c:ptCount val="16"/>
                <c:pt idx="0" formatCode="_(* #,##0.0_);_(* \(#,##0.0\);_(* &quot;-&quot;??_);_(@_)">
                  <c:v>113.95409181916231</c:v>
                </c:pt>
                <c:pt idx="1" formatCode="_(* #,##0.0_);_(* \(#,##0.0\);_(* &quot;-&quot;??_);_(@_)">
                  <c:v>106.67177250206066</c:v>
                </c:pt>
                <c:pt idx="2" formatCode="_(* #,##0.0_);_(* \(#,##0.0\);_(* &quot;-&quot;??_);_(@_)">
                  <c:v>101.58650765885073</c:v>
                </c:pt>
                <c:pt idx="3" formatCode="_(* #,##0.0_);_(* \(#,##0.0\);_(* &quot;-&quot;??_);_(@_)">
                  <c:v>114.48355222803437</c:v>
                </c:pt>
                <c:pt idx="4" formatCode="_(* #,##0.0_);_(* \(#,##0.0\);_(* &quot;-&quot;??_);_(@_)">
                  <c:v>129.3383585767192</c:v>
                </c:pt>
                <c:pt idx="5" formatCode="_(* #,##0.0_);_(* \(#,##0.0\);_(* &quot;-&quot;??_);_(@_)">
                  <c:v>110.59382738788712</c:v>
                </c:pt>
                <c:pt idx="6" formatCode="_(* #,##0.0_);_(* \(#,##0.0\);_(* &quot;-&quot;??_);_(@_)">
                  <c:v>115.7554000790373</c:v>
                </c:pt>
                <c:pt idx="7" formatCode="_(* #,##0.0_);_(* \(#,##0.0\);_(* &quot;-&quot;??_);_(@_)">
                  <c:v>121.52589661753289</c:v>
                </c:pt>
                <c:pt idx="8" formatCode="_(* #,##0.0_);_(* \(#,##0.0\);_(* &quot;-&quot;??_);_(@_)">
                  <c:v>123.29895470936253</c:v>
                </c:pt>
                <c:pt idx="9" formatCode="_(* #,##0.0_);_(* \(#,##0.0\);_(* &quot;-&quot;??_);_(@_)">
                  <c:v>114.41633758226419</c:v>
                </c:pt>
                <c:pt idx="10" formatCode="_(* #,##0.0_);_(* \(#,##0.0\);_(* &quot;-&quot;??_);_(@_)">
                  <c:v>110.09315382328128</c:v>
                </c:pt>
                <c:pt idx="11" formatCode="_(* #,##0.0_);_(* \(#,##0.0\);_(* &quot;-&quot;??_);_(@_)">
                  <c:v>121.78754490123139</c:v>
                </c:pt>
                <c:pt idx="12" formatCode="_(* #,##0.0_);_(* \(#,##0.0\);_(* &quot;-&quot;??_);_(@_)">
                  <c:v>108.24387497781473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9C-4D66-B636-72B1CFA8361F}"/>
            </c:ext>
          </c:extLst>
        </c:ser>
        <c:ser>
          <c:idx val="2"/>
          <c:order val="2"/>
          <c:tx>
            <c:strRef>
              <c:f>Quarter!$AF$2</c:f>
              <c:strCache>
                <c:ptCount val="1"/>
                <c:pt idx="0">
                  <c:v>Economic Uncertainty Index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Quarter!$K$87:$K$106</c15:sqref>
                  </c15:fullRef>
                </c:ext>
              </c:extLst>
              <c:f>Quarter!$K$91:$K$106</c:f>
              <c:numCache>
                <c:formatCode>General</c:formatCode>
                <c:ptCount val="16"/>
                <c:pt idx="0">
                  <c:v>2022</c:v>
                </c:pt>
                <c:pt idx="4">
                  <c:v>2023</c:v>
                </c:pt>
                <c:pt idx="8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Quarter!$AF$87:$AF$106</c15:sqref>
                  </c15:fullRef>
                </c:ext>
              </c:extLst>
              <c:f>Quarter!$AF$91:$AF$106</c:f>
              <c:numCache>
                <c:formatCode>_(* #,##0.0_);_(* \(#,##0.0\);_(* "-"??_);_(@_)</c:formatCode>
                <c:ptCount val="16"/>
                <c:pt idx="1">
                  <c:v>144.12661409425749</c:v>
                </c:pt>
                <c:pt idx="2">
                  <c:v>126.75547239086688</c:v>
                </c:pt>
                <c:pt idx="3">
                  <c:v>125.50912835857473</c:v>
                </c:pt>
                <c:pt idx="4">
                  <c:v>111.19286720515105</c:v>
                </c:pt>
                <c:pt idx="5">
                  <c:v>118.12603888902248</c:v>
                </c:pt>
                <c:pt idx="6">
                  <c:v>119.51528002868437</c:v>
                </c:pt>
                <c:pt idx="7">
                  <c:v>111.26335363194761</c:v>
                </c:pt>
                <c:pt idx="8">
                  <c:v>122.56484167126935</c:v>
                </c:pt>
                <c:pt idx="9">
                  <c:v>120.56393400496718</c:v>
                </c:pt>
                <c:pt idx="10">
                  <c:v>133.68320475258949</c:v>
                </c:pt>
                <c:pt idx="11">
                  <c:v>131.5069982749439</c:v>
                </c:pt>
                <c:pt idx="12">
                  <c:v>140.60293662166976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9C-4D66-B636-72B1CFA83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  <c:min val="8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Quarter!$AG$1</c:f>
          <c:strCache>
            <c:ptCount val="1"/>
            <c:pt idx="0">
              <c:v>Inflation Expectation - Next quarter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Quarter!$AG$2</c:f>
              <c:strCache>
                <c:ptCount val="1"/>
                <c:pt idx="0">
                  <c:v>Individuals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Quarter!$AG$71:$AG$106</c:f>
              <c:numCache>
                <c:formatCode>0.0%</c:formatCode>
                <c:ptCount val="36"/>
                <c:pt idx="0">
                  <c:v>6.0999999999999999E-2</c:v>
                </c:pt>
                <c:pt idx="1">
                  <c:v>2.7E-2</c:v>
                </c:pt>
                <c:pt idx="2">
                  <c:v>2.9000000000000001E-2</c:v>
                </c:pt>
                <c:pt idx="3">
                  <c:v>4.1000000000000002E-2</c:v>
                </c:pt>
                <c:pt idx="4">
                  <c:v>5.0999999999999997E-2</c:v>
                </c:pt>
                <c:pt idx="5">
                  <c:v>5.3999999999999999E-2</c:v>
                </c:pt>
                <c:pt idx="6">
                  <c:v>4.9000000000000002E-2</c:v>
                </c:pt>
                <c:pt idx="7">
                  <c:v>4.5999999999999999E-2</c:v>
                </c:pt>
                <c:pt idx="8">
                  <c:v>0.06</c:v>
                </c:pt>
                <c:pt idx="9">
                  <c:v>0.06</c:v>
                </c:pt>
                <c:pt idx="10">
                  <c:v>6.2E-2</c:v>
                </c:pt>
                <c:pt idx="11">
                  <c:v>6.9000000000000006E-2</c:v>
                </c:pt>
                <c:pt idx="12">
                  <c:v>7.0000000000000007E-2</c:v>
                </c:pt>
                <c:pt idx="13">
                  <c:v>6.8000000000000005E-2</c:v>
                </c:pt>
                <c:pt idx="14">
                  <c:v>6.2E-2</c:v>
                </c:pt>
                <c:pt idx="15">
                  <c:v>0.04</c:v>
                </c:pt>
                <c:pt idx="16">
                  <c:v>2.9000000000000001E-2</c:v>
                </c:pt>
                <c:pt idx="17">
                  <c:v>3.1159999999999997E-2</c:v>
                </c:pt>
                <c:pt idx="18">
                  <c:v>8.7126168224299083E-2</c:v>
                </c:pt>
                <c:pt idx="19">
                  <c:v>8.1488833746898276E-2</c:v>
                </c:pt>
                <c:pt idx="20">
                  <c:v>0.10159065628476084</c:v>
                </c:pt>
                <c:pt idx="21">
                  <c:v>0.11389908256880735</c:v>
                </c:pt>
                <c:pt idx="22">
                  <c:v>0.15229698375870065</c:v>
                </c:pt>
                <c:pt idx="23">
                  <c:v>0.14295918367346935</c:v>
                </c:pt>
                <c:pt idx="24">
                  <c:v>0.10256310679611649</c:v>
                </c:pt>
                <c:pt idx="25">
                  <c:v>8.4096742349457063E-2</c:v>
                </c:pt>
                <c:pt idx="26">
                  <c:v>0.10871794871794872</c:v>
                </c:pt>
                <c:pt idx="27">
                  <c:v>8.6474103585657366E-2</c:v>
                </c:pt>
                <c:pt idx="28">
                  <c:v>9.3096264884354393E-2</c:v>
                </c:pt>
                <c:pt idx="29">
                  <c:v>6.924000000000001E-2</c:v>
                </c:pt>
                <c:pt idx="30">
                  <c:v>6.3128654970760242E-2</c:v>
                </c:pt>
                <c:pt idx="31">
                  <c:v>8.5066828675577161E-2</c:v>
                </c:pt>
                <c:pt idx="32">
                  <c:v>0.10841683366733469</c:v>
                </c:pt>
                <c:pt idx="33">
                  <c:v>0.10834000000000001</c:v>
                </c:pt>
                <c:pt idx="34">
                  <c:v>9.8103792415169672E-2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4-4DF5-8665-DDC299DF58E2}"/>
            </c:ext>
          </c:extLst>
        </c:ser>
        <c:ser>
          <c:idx val="1"/>
          <c:order val="1"/>
          <c:tx>
            <c:strRef>
              <c:f>Quarter!$AH$2</c:f>
              <c:strCache>
                <c:ptCount val="1"/>
                <c:pt idx="0">
                  <c:v>Firms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Quarter!$AH$71:$AH$106</c:f>
              <c:numCache>
                <c:formatCode>0.0%</c:formatCode>
                <c:ptCount val="36"/>
                <c:pt idx="2">
                  <c:v>5.0505617977528089E-2</c:v>
                </c:pt>
                <c:pt idx="3">
                  <c:v>5.5292479108635099E-2</c:v>
                </c:pt>
                <c:pt idx="4">
                  <c:v>6.0346820809248553E-2</c:v>
                </c:pt>
                <c:pt idx="5">
                  <c:v>6.2114882506527413E-2</c:v>
                </c:pt>
                <c:pt idx="6">
                  <c:v>5.1652892561983473E-2</c:v>
                </c:pt>
                <c:pt idx="7">
                  <c:v>5.569148936170213E-2</c:v>
                </c:pt>
                <c:pt idx="8">
                  <c:v>6.2762430939226524E-2</c:v>
                </c:pt>
                <c:pt idx="9">
                  <c:v>6.4839650145772601E-2</c:v>
                </c:pt>
                <c:pt idx="10">
                  <c:v>6.580645161290323E-2</c:v>
                </c:pt>
                <c:pt idx="11">
                  <c:v>7.0271002710027106E-2</c:v>
                </c:pt>
                <c:pt idx="12">
                  <c:v>7.9321608040201011E-2</c:v>
                </c:pt>
                <c:pt idx="13">
                  <c:v>7.517060367454069E-2</c:v>
                </c:pt>
                <c:pt idx="14">
                  <c:v>6.3955431754874656E-2</c:v>
                </c:pt>
                <c:pt idx="15">
                  <c:v>3.0136363636363635E-2</c:v>
                </c:pt>
                <c:pt idx="16">
                  <c:v>3.7195704057279233E-2</c:v>
                </c:pt>
                <c:pt idx="17">
                  <c:v>1.8822355289421153E-2</c:v>
                </c:pt>
                <c:pt idx="18">
                  <c:v>4.5155279503105591E-2</c:v>
                </c:pt>
                <c:pt idx="19">
                  <c:v>5.0130718954248379E-2</c:v>
                </c:pt>
                <c:pt idx="20">
                  <c:v>8.7014925373134322E-2</c:v>
                </c:pt>
                <c:pt idx="21">
                  <c:v>9.1283582089552256E-2</c:v>
                </c:pt>
                <c:pt idx="22">
                  <c:v>6.7599999999999993E-2</c:v>
                </c:pt>
                <c:pt idx="23">
                  <c:v>6.8903225806451612E-2</c:v>
                </c:pt>
                <c:pt idx="24">
                  <c:v>7.6793587174348699E-2</c:v>
                </c:pt>
                <c:pt idx="25">
                  <c:v>7.4385964912280708E-2</c:v>
                </c:pt>
                <c:pt idx="26">
                  <c:v>6.6178861788617885E-2</c:v>
                </c:pt>
                <c:pt idx="27">
                  <c:v>6.9898989898989891E-2</c:v>
                </c:pt>
                <c:pt idx="28">
                  <c:v>7.3812636165577331E-2</c:v>
                </c:pt>
                <c:pt idx="29">
                  <c:v>6.7935483870967706E-2</c:v>
                </c:pt>
                <c:pt idx="30">
                  <c:v>5.4662921348314603E-2</c:v>
                </c:pt>
                <c:pt idx="31">
                  <c:v>7.3703703703703702E-2</c:v>
                </c:pt>
                <c:pt idx="32">
                  <c:v>7.9758454106280186E-2</c:v>
                </c:pt>
                <c:pt idx="33">
                  <c:v>0.10436692506459949</c:v>
                </c:pt>
                <c:pt idx="34">
                  <c:v>9.7711442786069649E-2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4-4DF5-8665-DDC299DF58E2}"/>
            </c:ext>
          </c:extLst>
        </c:ser>
        <c:ser>
          <c:idx val="2"/>
          <c:order val="2"/>
          <c:tx>
            <c:strRef>
              <c:f>Quarter!$AI$2</c:f>
              <c:strCache>
                <c:ptCount val="1"/>
                <c:pt idx="0">
                  <c:v>Experts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Quarter!$AI$71:$AI$106</c:f>
              <c:numCache>
                <c:formatCode>0.0%</c:formatCode>
                <c:ptCount val="36"/>
                <c:pt idx="1">
                  <c:v>1.7000000000000001E-2</c:v>
                </c:pt>
                <c:pt idx="2">
                  <c:v>2.5000000000000001E-2</c:v>
                </c:pt>
                <c:pt idx="3">
                  <c:v>4.9000000000000002E-2</c:v>
                </c:pt>
                <c:pt idx="4">
                  <c:v>7.0000000000000007E-2</c:v>
                </c:pt>
                <c:pt idx="5">
                  <c:v>6.0999999999999999E-2</c:v>
                </c:pt>
                <c:pt idx="6">
                  <c:v>6.5000000000000002E-2</c:v>
                </c:pt>
                <c:pt idx="7">
                  <c:v>0.08</c:v>
                </c:pt>
                <c:pt idx="8">
                  <c:v>7.5999999999999998E-2</c:v>
                </c:pt>
                <c:pt idx="9">
                  <c:v>8.2000000000000003E-2</c:v>
                </c:pt>
                <c:pt idx="10">
                  <c:v>7.8E-2</c:v>
                </c:pt>
                <c:pt idx="11">
                  <c:v>8.5999999999999993E-2</c:v>
                </c:pt>
                <c:pt idx="12">
                  <c:v>8.1000000000000003E-2</c:v>
                </c:pt>
                <c:pt idx="13">
                  <c:v>7.3999999999999996E-2</c:v>
                </c:pt>
                <c:pt idx="14">
                  <c:v>7.1999999999999995E-2</c:v>
                </c:pt>
                <c:pt idx="15">
                  <c:v>4.5999999999999999E-2</c:v>
                </c:pt>
                <c:pt idx="16">
                  <c:v>3.3416666666666671E-2</c:v>
                </c:pt>
                <c:pt idx="17">
                  <c:v>5.8812175000000001E-2</c:v>
                </c:pt>
                <c:pt idx="18">
                  <c:v>7.390909090909091E-2</c:v>
                </c:pt>
                <c:pt idx="19">
                  <c:v>9.6000000000000002E-2</c:v>
                </c:pt>
                <c:pt idx="20">
                  <c:v>0.15736329564986409</c:v>
                </c:pt>
                <c:pt idx="21">
                  <c:v>0.15199499999999999</c:v>
                </c:pt>
                <c:pt idx="22">
                  <c:v>0.15404090591305156</c:v>
                </c:pt>
                <c:pt idx="23">
                  <c:v>0.14597207944716406</c:v>
                </c:pt>
                <c:pt idx="24">
                  <c:v>0.12476947112723669</c:v>
                </c:pt>
                <c:pt idx="25">
                  <c:v>0.11375028188421668</c:v>
                </c:pt>
                <c:pt idx="26">
                  <c:v>0.10100000000000001</c:v>
                </c:pt>
                <c:pt idx="27">
                  <c:v>9.8000000000000004E-2</c:v>
                </c:pt>
                <c:pt idx="28">
                  <c:v>8.5000000000000006E-2</c:v>
                </c:pt>
                <c:pt idx="29">
                  <c:v>6.7863243332766665E-2</c:v>
                </c:pt>
                <c:pt idx="30">
                  <c:v>6.1429381916956974E-2</c:v>
                </c:pt>
                <c:pt idx="31">
                  <c:v>7.495344343733E-2</c:v>
                </c:pt>
                <c:pt idx="32">
                  <c:v>0.1010114673963713</c:v>
                </c:pt>
                <c:pt idx="33">
                  <c:v>9.8107296651497797E-2</c:v>
                </c:pt>
                <c:pt idx="34">
                  <c:v>9.2731156498702713E-2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4-4DF5-8665-DDC299DF58E2}"/>
            </c:ext>
          </c:extLst>
        </c:ser>
        <c:ser>
          <c:idx val="3"/>
          <c:order val="3"/>
          <c:tx>
            <c:strRef>
              <c:f>Quarter!$AN$2</c:f>
              <c:strCache>
                <c:ptCount val="1"/>
                <c:pt idx="0">
                  <c:v>UB Inflation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Quarter!$AN$71:$AN$106</c:f>
              <c:numCache>
                <c:formatCode>0.0%</c:formatCode>
                <c:ptCount val="36"/>
                <c:pt idx="0">
                  <c:v>2.9900489882910053E-2</c:v>
                </c:pt>
                <c:pt idx="1">
                  <c:v>3.5341620592451051E-2</c:v>
                </c:pt>
                <c:pt idx="2">
                  <c:v>6.6495439388066124E-2</c:v>
                </c:pt>
                <c:pt idx="3">
                  <c:v>7.2251293729169053E-2</c:v>
                </c:pt>
                <c:pt idx="4">
                  <c:v>7.6915677251460757E-2</c:v>
                </c:pt>
                <c:pt idx="5">
                  <c:v>7.9574164668084757E-2</c:v>
                </c:pt>
                <c:pt idx="6">
                  <c:v>5.9247435025858719E-2</c:v>
                </c:pt>
                <c:pt idx="7">
                  <c:v>9.6657399469247007E-2</c:v>
                </c:pt>
                <c:pt idx="8">
                  <c:v>7.461023273325873E-2</c:v>
                </c:pt>
                <c:pt idx="9">
                  <c:v>9.5862268531412997E-2</c:v>
                </c:pt>
                <c:pt idx="10">
                  <c:v>0.10477467571642651</c:v>
                </c:pt>
                <c:pt idx="11">
                  <c:v>5.007151741911775E-2</c:v>
                </c:pt>
                <c:pt idx="12">
                  <c:v>6.7815166993806963E-2</c:v>
                </c:pt>
                <c:pt idx="13">
                  <c:v>2.6579398973937352E-2</c:v>
                </c:pt>
                <c:pt idx="14">
                  <c:v>1.3704198774220355E-2</c:v>
                </c:pt>
                <c:pt idx="15">
                  <c:v>1.891687429537714E-2</c:v>
                </c:pt>
                <c:pt idx="16">
                  <c:v>1.0653919851027815E-2</c:v>
                </c:pt>
                <c:pt idx="17">
                  <c:v>6.0064927677651037E-2</c:v>
                </c:pt>
                <c:pt idx="18">
                  <c:v>9.1287872736091513E-2</c:v>
                </c:pt>
                <c:pt idx="19">
                  <c:v>0.13787012127536502</c:v>
                </c:pt>
                <c:pt idx="20">
                  <c:v>0.15890878288282306</c:v>
                </c:pt>
                <c:pt idx="21">
                  <c:v>0.16591769171525583</c:v>
                </c:pt>
                <c:pt idx="22">
                  <c:v>0.1402941851155366</c:v>
                </c:pt>
                <c:pt idx="23">
                  <c:v>0.12859791818843758</c:v>
                </c:pt>
                <c:pt idx="24">
                  <c:v>0.12109492765387775</c:v>
                </c:pt>
                <c:pt idx="25">
                  <c:v>0.10429833677384526</c:v>
                </c:pt>
                <c:pt idx="26">
                  <c:v>0.10241309150999811</c:v>
                </c:pt>
                <c:pt idx="27">
                  <c:v>8.6288884805786781E-2</c:v>
                </c:pt>
                <c:pt idx="28">
                  <c:v>6.9688439141017522E-2</c:v>
                </c:pt>
                <c:pt idx="29">
                  <c:v>4.7835787817111619E-2</c:v>
                </c:pt>
                <c:pt idx="30">
                  <c:v>6.4608728232127488E-2</c:v>
                </c:pt>
                <c:pt idx="31">
                  <c:v>9.0875451226547943E-2</c:v>
                </c:pt>
                <c:pt idx="32">
                  <c:v>0.10106900499041793</c:v>
                </c:pt>
                <c:pt idx="33">
                  <c:v>9.3999999999999861E-2</c:v>
                </c:pt>
                <c:pt idx="34">
                  <c:v>9.9000000000000199E-2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04-4DF5-8665-DDC299DF5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Bank Lending Survey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Quarter!$AJ$2</c:f>
              <c:strCache>
                <c:ptCount val="1"/>
                <c:pt idx="0">
                  <c:v>Credit Standart for Household (next quarter)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Quarter!$AJ$71:$AJ$106</c:f>
              <c:numCache>
                <c:formatCode>General</c:formatCode>
                <c:ptCount val="36"/>
                <c:pt idx="3" formatCode="_(* #,##0.00_);_(* \(#,##0.00\);_(* &quot;-&quot;??_);_(@_)">
                  <c:v>3.7136987470487797E-3</c:v>
                </c:pt>
                <c:pt idx="4" formatCode="_(* #,##0.00_);_(* \(#,##0.00\);_(* &quot;-&quot;??_);_(@_)">
                  <c:v>3.3934186257064338E-3</c:v>
                </c:pt>
                <c:pt idx="5" formatCode="_(* #,##0.00_);_(* \(#,##0.00\);_(* &quot;-&quot;??_);_(@_)">
                  <c:v>-8.1025507082027968E-3</c:v>
                </c:pt>
                <c:pt idx="6" formatCode="_(* #,##0.00_);_(* \(#,##0.00\);_(* &quot;-&quot;??_);_(@_)">
                  <c:v>-0.15569418808836477</c:v>
                </c:pt>
                <c:pt idx="7" formatCode="_(* #,##0.00_);_(* \(#,##0.00\);_(* &quot;-&quot;??_);_(@_)">
                  <c:v>6.8044344492375716E-2</c:v>
                </c:pt>
                <c:pt idx="8" formatCode="_(* #,##0.00_);_(* \(#,##0.00\);_(* &quot;-&quot;??_);_(@_)">
                  <c:v>7.1628274675845432E-3</c:v>
                </c:pt>
                <c:pt idx="9" formatCode="_(* #,##0.00_);_(* \(#,##0.00\);_(* &quot;-&quot;??_);_(@_)">
                  <c:v>0.1335868227455807</c:v>
                </c:pt>
                <c:pt idx="10" formatCode="_(* #,##0.00_);_(* \(#,##0.00\);_(* &quot;-&quot;??_);_(@_)">
                  <c:v>-8.6698344381629572E-2</c:v>
                </c:pt>
                <c:pt idx="11" formatCode="_(* #,##0.00_);_(* \(#,##0.00\);_(* &quot;-&quot;??_);_(@_)">
                  <c:v>2.3647818943179581E-3</c:v>
                </c:pt>
                <c:pt idx="12" formatCode="_(* #,##0.00_);_(* \(#,##0.00\);_(* &quot;-&quot;??_);_(@_)">
                  <c:v>1.3627001592894018E-2</c:v>
                </c:pt>
                <c:pt idx="13" formatCode="_(* #,##0.00_);_(* \(#,##0.00\);_(* &quot;-&quot;??_);_(@_)">
                  <c:v>-5.4359393599329293E-2</c:v>
                </c:pt>
                <c:pt idx="14" formatCode="_(* #,##0.00_);_(* \(#,##0.00\);_(* &quot;-&quot;??_);_(@_)">
                  <c:v>5.0890588437292383E-2</c:v>
                </c:pt>
                <c:pt idx="15" formatCode="_(* #,##0.00_);_(* \(#,##0.00\);_(* &quot;-&quot;??_);_(@_)">
                  <c:v>0.1590935518571551</c:v>
                </c:pt>
                <c:pt idx="16" formatCode="_(* #,##0.00_);_(* \(#,##0.00\);_(* &quot;-&quot;??_);_(@_)">
                  <c:v>-8.6707857707743557E-2</c:v>
                </c:pt>
                <c:pt idx="17" formatCode="_(* #,##0.00_);_(* \(#,##0.00\);_(* &quot;-&quot;??_);_(@_)">
                  <c:v>-5.5899887212443704E-2</c:v>
                </c:pt>
                <c:pt idx="18" formatCode="_(* #,##0.00_);_(* \(#,##0.00\);_(* &quot;-&quot;??_);_(@_)">
                  <c:v>-3.4707136395974621E-2</c:v>
                </c:pt>
                <c:pt idx="19" formatCode="_(* #,##0.00_);_(* \(#,##0.00\);_(* &quot;-&quot;??_);_(@_)">
                  <c:v>-0.23735708705352279</c:v>
                </c:pt>
                <c:pt idx="20" formatCode="_(* #,##0.00_);_(* \(#,##0.00\);_(* &quot;-&quot;??_);_(@_)">
                  <c:v>5.7775740611057412E-2</c:v>
                </c:pt>
                <c:pt idx="21" formatCode="_(* #,##0.00_);_(* \(#,##0.00\);_(* &quot;-&quot;??_);_(@_)">
                  <c:v>0.39256953990604082</c:v>
                </c:pt>
                <c:pt idx="22" formatCode="_(* #,##0.00_);_(* \(#,##0.00\);_(* &quot;-&quot;??_);_(@_)">
                  <c:v>0.5075609544784786</c:v>
                </c:pt>
                <c:pt idx="23" formatCode="_(* #,##0.00_);_(* \(#,##0.00\);_(* &quot;-&quot;??_);_(@_)">
                  <c:v>-0.24003698880424454</c:v>
                </c:pt>
                <c:pt idx="24" formatCode="_(* #,##0.00_);_(* \(#,##0.00\);_(* &quot;-&quot;??_);_(@_)">
                  <c:v>5.598661243597524E-2</c:v>
                </c:pt>
                <c:pt idx="25" formatCode="_(* #,##0.00_);_(* \(#,##0.00\);_(* &quot;-&quot;??_);_(@_)">
                  <c:v>0</c:v>
                </c:pt>
                <c:pt idx="26" formatCode="_(* #,##0.00_);_(* \(#,##0.00\);_(* &quot;-&quot;??_);_(@_)">
                  <c:v>-9.4265496175454557E-5</c:v>
                </c:pt>
                <c:pt idx="27" formatCode="_(* #,##0.00_);_(* \(#,##0.00\);_(* &quot;-&quot;??_);_(@_)">
                  <c:v>0.22458284978274484</c:v>
                </c:pt>
                <c:pt idx="28" formatCode="_(* #,##0.00_);_(* \(#,##0.00\);_(* &quot;-&quot;??_);_(@_)">
                  <c:v>-8.6821445587662874E-2</c:v>
                </c:pt>
                <c:pt idx="29" formatCode="_(* #,##0.00_);_(* \(#,##0.00\);_(* &quot;-&quot;??_);_(@_)">
                  <c:v>0.13321709599416004</c:v>
                </c:pt>
                <c:pt idx="30" formatCode="_(* #,##0.00_);_(* \(#,##0.00\);_(* &quot;-&quot;??_);_(@_)">
                  <c:v>-0.20678128411101773</c:v>
                </c:pt>
                <c:pt idx="31" formatCode="_(* #,##0.00_);_(* \(#,##0.00\);_(* &quot;-&quot;??_);_(@_)">
                  <c:v>-0.11014197166004616</c:v>
                </c:pt>
                <c:pt idx="32" formatCode="_(* #,##0.00_);_(* \(#,##0.00\);_(* &quot;-&quot;??_);_(@_)">
                  <c:v>-6.7299361952445291E-2</c:v>
                </c:pt>
                <c:pt idx="33" formatCode="_(* #,##0.00_);_(* \(#,##0.00\);_(* &quot;-&quot;??_);_(@_)">
                  <c:v>1.1334831015264356E-2</c:v>
                </c:pt>
                <c:pt idx="34" formatCode="_(* #,##0.00_);_(* \(#,##0.00\);_(* &quot;-&quot;??_);_(@_)">
                  <c:v>3.6724254735990632E-3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5-4350-BC0C-F2124AC84106}"/>
            </c:ext>
          </c:extLst>
        </c:ser>
        <c:ser>
          <c:idx val="1"/>
          <c:order val="1"/>
          <c:tx>
            <c:strRef>
              <c:f>Quarter!$AK$2</c:f>
              <c:strCache>
                <c:ptCount val="1"/>
                <c:pt idx="0">
                  <c:v>Credit Standart for Corporate (next quarter)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Quarter!$K$71:$L$106</c:f>
              <c:multiLvlStrCache>
                <c:ptCount val="36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1</c:v>
                  </c:pt>
                  <c:pt idx="9">
                    <c:v>2</c:v>
                  </c:pt>
                  <c:pt idx="10">
                    <c:v>3</c:v>
                  </c:pt>
                  <c:pt idx="11">
                    <c:v>4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1</c:v>
                  </c:pt>
                  <c:pt idx="17">
                    <c:v>2</c:v>
                  </c:pt>
                  <c:pt idx="18">
                    <c:v>3</c:v>
                  </c:pt>
                  <c:pt idx="19">
                    <c:v>4</c:v>
                  </c:pt>
                  <c:pt idx="20">
                    <c:v>1</c:v>
                  </c:pt>
                  <c:pt idx="21">
                    <c:v>2</c:v>
                  </c:pt>
                  <c:pt idx="22">
                    <c:v>3</c:v>
                  </c:pt>
                  <c:pt idx="23">
                    <c:v>4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1</c:v>
                  </c:pt>
                  <c:pt idx="29">
                    <c:v>2</c:v>
                  </c:pt>
                  <c:pt idx="30">
                    <c:v>3</c:v>
                  </c:pt>
                  <c:pt idx="31">
                    <c:v>4</c:v>
                  </c:pt>
                  <c:pt idx="32">
                    <c:v>1</c:v>
                  </c:pt>
                  <c:pt idx="33">
                    <c:v>2</c:v>
                  </c:pt>
                  <c:pt idx="34">
                    <c:v>3</c:v>
                  </c:pt>
                  <c:pt idx="35">
                    <c:v>4</c:v>
                  </c:pt>
                </c:lvl>
                <c:lvl>
                  <c:pt idx="0">
                    <c:v>2017</c:v>
                  </c:pt>
                  <c:pt idx="4">
                    <c:v>2018</c:v>
                  </c:pt>
                  <c:pt idx="8">
                    <c:v>2019</c:v>
                  </c:pt>
                  <c:pt idx="12">
                    <c:v>2020</c:v>
                  </c:pt>
                  <c:pt idx="16">
                    <c:v>2021</c:v>
                  </c:pt>
                  <c:pt idx="20">
                    <c:v>2022</c:v>
                  </c:pt>
                  <c:pt idx="24">
                    <c:v>2023</c:v>
                  </c:pt>
                  <c:pt idx="28">
                    <c:v>2024</c:v>
                  </c:pt>
                  <c:pt idx="32">
                    <c:v>2025</c:v>
                  </c:pt>
                </c:lvl>
              </c:multiLvlStrCache>
            </c:multiLvlStrRef>
          </c:cat>
          <c:val>
            <c:numRef>
              <c:f>Quarter!$AK$71:$AK$106</c:f>
              <c:numCache>
                <c:formatCode>General</c:formatCode>
                <c:ptCount val="36"/>
                <c:pt idx="3" formatCode="_(* #,##0.00_);_(* \(#,##0.00\);_(* &quot;-&quot;??_);_(@_)">
                  <c:v>-8.1471903735509804E-2</c:v>
                </c:pt>
                <c:pt idx="4" formatCode="_(* #,##0.00_);_(* \(#,##0.00\);_(* &quot;-&quot;??_);_(@_)">
                  <c:v>0</c:v>
                </c:pt>
                <c:pt idx="5" formatCode="_(* #,##0.00_);_(* \(#,##0.00\);_(* &quot;-&quot;??_);_(@_)">
                  <c:v>9.6965717990582963E-3</c:v>
                </c:pt>
                <c:pt idx="6" formatCode="_(* #,##0.00_);_(* \(#,##0.00\);_(* &quot;-&quot;??_);_(@_)">
                  <c:v>-0.10053525509884964</c:v>
                </c:pt>
                <c:pt idx="7" formatCode="_(* #,##0.00_);_(* \(#,##0.00\);_(* &quot;-&quot;??_);_(@_)">
                  <c:v>-0.14094907264744566</c:v>
                </c:pt>
                <c:pt idx="8" formatCode="_(* #,##0.00_);_(* \(#,##0.00\);_(* &quot;-&quot;??_);_(@_)">
                  <c:v>5.8422073670348264E-3</c:v>
                </c:pt>
                <c:pt idx="9" formatCode="_(* #,##0.00_);_(* \(#,##0.00\);_(* &quot;-&quot;??_);_(@_)">
                  <c:v>-4.4400109639495283E-2</c:v>
                </c:pt>
                <c:pt idx="10" formatCode="_(* #,##0.00_);_(* \(#,##0.00\);_(* &quot;-&quot;??_);_(@_)">
                  <c:v>3.6224673194373502E-2</c:v>
                </c:pt>
                <c:pt idx="11" formatCode="_(* #,##0.00_);_(* \(#,##0.00\);_(* &quot;-&quot;??_);_(@_)">
                  <c:v>1.4560006886681527E-2</c:v>
                </c:pt>
                <c:pt idx="12" formatCode="_(* #,##0.00_);_(* \(#,##0.00\);_(* &quot;-&quot;??_);_(@_)">
                  <c:v>0.16398197373948545</c:v>
                </c:pt>
                <c:pt idx="13" formatCode="_(* #,##0.00_);_(* \(#,##0.00\);_(* &quot;-&quot;??_);_(@_)">
                  <c:v>-5.5125258996226896E-2</c:v>
                </c:pt>
                <c:pt idx="14" formatCode="_(* #,##0.00_);_(* \(#,##0.00\);_(* &quot;-&quot;??_);_(@_)">
                  <c:v>0.14584548307950043</c:v>
                </c:pt>
                <c:pt idx="15" formatCode="_(* #,##0.00_);_(* \(#,##0.00\);_(* &quot;-&quot;??_);_(@_)">
                  <c:v>5.7267145696543925E-2</c:v>
                </c:pt>
                <c:pt idx="16" formatCode="_(* #,##0.00_);_(* \(#,##0.00\);_(* &quot;-&quot;??_);_(@_)">
                  <c:v>-0.17588830035142408</c:v>
                </c:pt>
                <c:pt idx="17" formatCode="_(* #,##0.00_);_(* \(#,##0.00\);_(* &quot;-&quot;??_);_(@_)">
                  <c:v>2.9282576160968118E-2</c:v>
                </c:pt>
                <c:pt idx="18" formatCode="_(* #,##0.00_);_(* \(#,##0.00\);_(* &quot;-&quot;??_);_(@_)">
                  <c:v>-2.7494336710494744E-2</c:v>
                </c:pt>
                <c:pt idx="19" formatCode="_(* #,##0.00_);_(* \(#,##0.00\);_(* &quot;-&quot;??_);_(@_)">
                  <c:v>-0.16712687620720543</c:v>
                </c:pt>
                <c:pt idx="20" formatCode="_(* #,##0.00_);_(* \(#,##0.00\);_(* &quot;-&quot;??_);_(@_)">
                  <c:v>4.1844023094048895E-2</c:v>
                </c:pt>
                <c:pt idx="21" formatCode="_(* #,##0.00_);_(* \(#,##0.00\);_(* &quot;-&quot;??_);_(@_)">
                  <c:v>0.2397641165469043</c:v>
                </c:pt>
                <c:pt idx="22" formatCode="_(* #,##0.00_);_(* \(#,##0.00\);_(* &quot;-&quot;??_);_(@_)">
                  <c:v>0.19487802514936675</c:v>
                </c:pt>
                <c:pt idx="23" formatCode="_(* #,##0.00_);_(* \(#,##0.00\);_(* &quot;-&quot;??_);_(@_)">
                  <c:v>-0.16545134685445864</c:v>
                </c:pt>
                <c:pt idx="24" formatCode="_(* #,##0.00_);_(* \(#,##0.00\);_(* &quot;-&quot;??_);_(@_)">
                  <c:v>6.2276386988271305E-3</c:v>
                </c:pt>
                <c:pt idx="25" formatCode="_(* #,##0.00_);_(* \(#,##0.00\);_(* &quot;-&quot;??_);_(@_)">
                  <c:v>5.2043508080518008E-3</c:v>
                </c:pt>
                <c:pt idx="26" formatCode="_(* #,##0.00_);_(* \(#,##0.00\);_(* &quot;-&quot;??_);_(@_)">
                  <c:v>5.5605774868950644E-2</c:v>
                </c:pt>
                <c:pt idx="27" formatCode="_(* #,##0.00_);_(* \(#,##0.00\);_(* &quot;-&quot;??_);_(@_)">
                  <c:v>-0.17832087797278123</c:v>
                </c:pt>
                <c:pt idx="28" formatCode="_(* #,##0.00_);_(* \(#,##0.00\);_(* &quot;-&quot;??_);_(@_)">
                  <c:v>1.0412878190528184E-2</c:v>
                </c:pt>
                <c:pt idx="29" formatCode="_(* #,##0.00_);_(* \(#,##0.00\);_(* &quot;-&quot;??_);_(@_)">
                  <c:v>0.16044363202258191</c:v>
                </c:pt>
                <c:pt idx="30" formatCode="_(* #,##0.00_);_(* \(#,##0.00\);_(* &quot;-&quot;??_);_(@_)">
                  <c:v>-0.15905236406860013</c:v>
                </c:pt>
                <c:pt idx="31" formatCode="_(* #,##0.00_);_(* \(#,##0.00\);_(* &quot;-&quot;??_);_(@_)">
                  <c:v>-0.16026151437366432</c:v>
                </c:pt>
                <c:pt idx="32" formatCode="_(* #,##0.00_);_(* \(#,##0.00\);_(* &quot;-&quot;??_);_(@_)">
                  <c:v>-5.1390238123109375E-2</c:v>
                </c:pt>
                <c:pt idx="33" formatCode="_(* #,##0.00_);_(* \(#,##0.00\);_(* &quot;-&quot;??_);_(@_)">
                  <c:v>-0.1697859488471046</c:v>
                </c:pt>
                <c:pt idx="34" formatCode="_(* #,##0.00_);_(* \(#,##0.00\);_(* &quot;-&quot;??_);_(@_)">
                  <c:v>0.14946411336886581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5-4350-BC0C-F2124AC84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802800"/>
        <c:axId val="405795120"/>
      </c:lineChart>
      <c:catAx>
        <c:axId val="4058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795120"/>
        <c:crosses val="autoZero"/>
        <c:auto val="1"/>
        <c:lblAlgn val="ctr"/>
        <c:lblOffset val="100"/>
        <c:noMultiLvlLbl val="0"/>
      </c:catAx>
      <c:valAx>
        <c:axId val="405795120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58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130572</xdr:colOff>
      <xdr:row>2</xdr:row>
      <xdr:rowOff>161364</xdr:rowOff>
    </xdr:from>
    <xdr:to>
      <xdr:col>7</xdr:col>
      <xdr:colOff>435372</xdr:colOff>
      <xdr:row>19</xdr:row>
      <xdr:rowOff>51995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6CD941-427B-48A1-8B33-039C9ABAA2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121607</xdr:colOff>
      <xdr:row>19</xdr:row>
      <xdr:rowOff>134470</xdr:rowOff>
    </xdr:from>
    <xdr:to>
      <xdr:col>7</xdr:col>
      <xdr:colOff>426407</xdr:colOff>
      <xdr:row>36</xdr:row>
      <xdr:rowOff>25101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742D85-7176-3E81-5B38-DCF079D25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161366</xdr:colOff>
      <xdr:row>36</xdr:row>
      <xdr:rowOff>161364</xdr:rowOff>
    </xdr:from>
    <xdr:to>
      <xdr:col>7</xdr:col>
      <xdr:colOff>466166</xdr:colOff>
      <xdr:row>53</xdr:row>
      <xdr:rowOff>51995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94EFD-C95D-DF11-7B54-EE3F66CCA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149134</xdr:colOff>
      <xdr:row>3</xdr:row>
      <xdr:rowOff>97700</xdr:rowOff>
    </xdr:from>
    <xdr:to>
      <xdr:col>7</xdr:col>
      <xdr:colOff>453934</xdr:colOff>
      <xdr:row>20</xdr:row>
      <xdr:rowOff>18505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827F64-064A-4E4E-BC5A-4DC514E46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133350</xdr:colOff>
      <xdr:row>37</xdr:row>
      <xdr:rowOff>99332</xdr:rowOff>
    </xdr:from>
    <xdr:to>
      <xdr:col>7</xdr:col>
      <xdr:colOff>438150</xdr:colOff>
      <xdr:row>53</xdr:row>
      <xdr:rowOff>158931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7B8292-B32E-44C6-9B4A-9C0369D20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125186</xdr:colOff>
      <xdr:row>54</xdr:row>
      <xdr:rowOff>89807</xdr:rowOff>
    </xdr:from>
    <xdr:to>
      <xdr:col>7</xdr:col>
      <xdr:colOff>429986</xdr:colOff>
      <xdr:row>70</xdr:row>
      <xdr:rowOff>150767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F7A3C2-40B2-41E6-9354-BDC38AC67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157842</xdr:colOff>
      <xdr:row>20</xdr:row>
      <xdr:rowOff>76472</xdr:rowOff>
    </xdr:from>
    <xdr:to>
      <xdr:col>7</xdr:col>
      <xdr:colOff>430842</xdr:colOff>
      <xdr:row>37</xdr:row>
      <xdr:rowOff>615</xdr:rowOff>
    </xdr:to>
    <xdr:graphicFrame macro="">
      <xdr:nvGraphicFramePr>
        <xdr:cNvPr id="23" name="Chart 5">
          <a:extLst>
            <a:ext uri="{FF2B5EF4-FFF2-40B4-BE49-F238E27FC236}">
              <a16:creationId xmlns:a16="http://schemas.microsoft.com/office/drawing/2014/main" id="{DB3DF1A5-CF51-48C1-B7CC-95B961EFC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0</xdr:col>
      <xdr:colOff>156481</xdr:colOff>
      <xdr:row>71</xdr:row>
      <xdr:rowOff>139881</xdr:rowOff>
    </xdr:from>
    <xdr:to>
      <xdr:col>7</xdr:col>
      <xdr:colOff>429481</xdr:colOff>
      <xdr:row>88</xdr:row>
      <xdr:rowOff>64024</xdr:rowOff>
    </xdr:to>
    <xdr:graphicFrame macro="">
      <xdr:nvGraphicFramePr>
        <xdr:cNvPr id="28" name="Chart 6">
          <a:extLst>
            <a:ext uri="{FF2B5EF4-FFF2-40B4-BE49-F238E27FC236}">
              <a16:creationId xmlns:a16="http://schemas.microsoft.com/office/drawing/2014/main" id="{F8AF02BD-5261-4422-895E-FE07237D6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137432</xdr:colOff>
      <xdr:row>89</xdr:row>
      <xdr:rowOff>52251</xdr:rowOff>
    </xdr:from>
    <xdr:to>
      <xdr:col>7</xdr:col>
      <xdr:colOff>410432</xdr:colOff>
      <xdr:row>105</xdr:row>
      <xdr:rowOff>139680</xdr:rowOff>
    </xdr:to>
    <xdr:graphicFrame macro="">
      <xdr:nvGraphicFramePr>
        <xdr:cNvPr id="41" name="Chart 7">
          <a:extLst>
            <a:ext uri="{FF2B5EF4-FFF2-40B4-BE49-F238E27FC236}">
              <a16:creationId xmlns:a16="http://schemas.microsoft.com/office/drawing/2014/main" id="{EC603D31-1381-4423-94E2-E136D44E3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129827</xdr:colOff>
      <xdr:row>106</xdr:row>
      <xdr:rowOff>83354</xdr:rowOff>
    </xdr:from>
    <xdr:to>
      <xdr:col>7</xdr:col>
      <xdr:colOff>402827</xdr:colOff>
      <xdr:row>123</xdr:row>
      <xdr:rowOff>7496</xdr:rowOff>
    </xdr:to>
    <xdr:graphicFrame macro="">
      <xdr:nvGraphicFramePr>
        <xdr:cNvPr id="48" name="Chart 8">
          <a:extLst>
            <a:ext uri="{FF2B5EF4-FFF2-40B4-BE49-F238E27FC236}">
              <a16:creationId xmlns:a16="http://schemas.microsoft.com/office/drawing/2014/main" id="{2DF48600-012F-400E-B6B0-5A53EBBD5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212.mn/mn/statistic/statcate/573052/table-view/DT_NSO_0500_004V1" TargetMode="External"/><Relationship Id="rId13" Type="http://schemas.openxmlformats.org/officeDocument/2006/relationships/hyperlink" Target="https://www.1212.mn/mn/statistic/statcate/573052/table-view/DT_NSO_0500_003V1" TargetMode="External"/><Relationship Id="rId3" Type="http://schemas.openxmlformats.org/officeDocument/2006/relationships/hyperlink" Target="https://www.1212.mn/mn/statistic/statcate/573052/table-view/DT_NSO_0500_004V1" TargetMode="External"/><Relationship Id="rId7" Type="http://schemas.openxmlformats.org/officeDocument/2006/relationships/hyperlink" Target="https://www.1212.mn/mn/statistic/statcate/573052/table-view/DT_NSO_0500_004V1%20." TargetMode="External"/><Relationship Id="rId12" Type="http://schemas.openxmlformats.org/officeDocument/2006/relationships/hyperlink" Target="https://www.1212.mn/mn/statistic/statcate/573052/table-view/DT_NSO_0500_003V1" TargetMode="External"/><Relationship Id="rId2" Type="http://schemas.openxmlformats.org/officeDocument/2006/relationships/hyperlink" Target="https://www.1212.mn/mn/statistic/statcate/573052/table-view/DT_NSO_0500_004V1" TargetMode="External"/><Relationship Id="rId1" Type="http://schemas.openxmlformats.org/officeDocument/2006/relationships/hyperlink" Target="https://www.1212.mn/mn/statistic/statcate/573052/table-view/DT_NSO_0500_004V1" TargetMode="External"/><Relationship Id="rId6" Type="http://schemas.openxmlformats.org/officeDocument/2006/relationships/hyperlink" Target="https://www.1212.mn/mn/statistic/statcate/573052/table-view/DT_NSO_0500_004V1" TargetMode="External"/><Relationship Id="rId11" Type="http://schemas.openxmlformats.org/officeDocument/2006/relationships/hyperlink" Target="https://www.1212.mn/mn/statistic/statcate/573052/table-view/DT_NSO_0500_003V1" TargetMode="External"/><Relationship Id="rId5" Type="http://schemas.openxmlformats.org/officeDocument/2006/relationships/hyperlink" Target="https://www.1212.mn/mn/statistic/statcate/573052/table-view/DT_NSO_0500_004V1" TargetMode="External"/><Relationship Id="rId10" Type="http://schemas.openxmlformats.org/officeDocument/2006/relationships/hyperlink" Target="https://data.imf.org/?sk=1CE8A55F-CFA7-4BC0-BCE2-256EE65AC0E4" TargetMode="External"/><Relationship Id="rId4" Type="http://schemas.openxmlformats.org/officeDocument/2006/relationships/hyperlink" Target="https://www.1212.mn/mn/statistic/statcate/573052/table-view/DT_NSO_0500_004V1" TargetMode="External"/><Relationship Id="rId9" Type="http://schemas.openxmlformats.org/officeDocument/2006/relationships/hyperlink" Target="https://www.1212.mn/mn/statistic/statcate/573055/table-view/DT_NSO_0400_035V7" TargetMode="External"/><Relationship Id="rId14" Type="http://schemas.openxmlformats.org/officeDocument/2006/relationships/hyperlink" Target="https://www.1212.mn/mn/statistic/statcate/573052/table-view/DT_NSO_0500_003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6302-555A-47E0-9E97-3F22DF2BFA3D}">
  <dimension ref="B2:F19"/>
  <sheetViews>
    <sheetView showGridLines="0" workbookViewId="0">
      <selection activeCell="C6" sqref="C6"/>
    </sheetView>
  </sheetViews>
  <sheetFormatPr defaultRowHeight="13.2" x14ac:dyDescent="0.25"/>
  <cols>
    <col min="2" max="2" width="9.6640625" bestFit="1" customWidth="1"/>
    <col min="3" max="3" width="42.88671875" bestFit="1" customWidth="1"/>
    <col min="4" max="4" width="9" style="117" bestFit="1" customWidth="1"/>
    <col min="6" max="6" width="11" bestFit="1" customWidth="1"/>
  </cols>
  <sheetData>
    <row r="2" spans="2:6" x14ac:dyDescent="0.25">
      <c r="B2" s="35" t="s">
        <v>109</v>
      </c>
      <c r="C2" s="35" t="s">
        <v>99</v>
      </c>
      <c r="D2" s="35" t="s">
        <v>100</v>
      </c>
      <c r="E2" s="35" t="s">
        <v>115</v>
      </c>
      <c r="F2" s="35" t="s">
        <v>116</v>
      </c>
    </row>
    <row r="3" spans="2:6" x14ac:dyDescent="0.25">
      <c r="B3" s="38" t="s">
        <v>96</v>
      </c>
      <c r="C3" s="37"/>
      <c r="D3" s="116"/>
      <c r="E3" s="37"/>
      <c r="F3" s="37"/>
    </row>
    <row r="4" spans="2:6" x14ac:dyDescent="0.25">
      <c r="B4" s="39">
        <v>1</v>
      </c>
      <c r="C4" s="39" t="s">
        <v>71</v>
      </c>
      <c r="D4" s="117" t="s">
        <v>103</v>
      </c>
      <c r="E4" s="36"/>
      <c r="F4" t="s">
        <v>118</v>
      </c>
    </row>
    <row r="5" spans="2:6" x14ac:dyDescent="0.25">
      <c r="B5" s="39">
        <v>2</v>
      </c>
      <c r="C5" s="39" t="s">
        <v>67</v>
      </c>
      <c r="D5" s="130" t="s">
        <v>145</v>
      </c>
      <c r="E5" s="36"/>
      <c r="F5" t="s">
        <v>114</v>
      </c>
    </row>
    <row r="6" spans="2:6" x14ac:dyDescent="0.25">
      <c r="B6" s="39">
        <v>3</v>
      </c>
      <c r="C6" s="39" t="s">
        <v>57</v>
      </c>
      <c r="D6" s="117" t="s">
        <v>102</v>
      </c>
      <c r="E6" s="36"/>
      <c r="F6" t="s">
        <v>112</v>
      </c>
    </row>
    <row r="7" spans="2:6" x14ac:dyDescent="0.25">
      <c r="B7" s="39">
        <v>4</v>
      </c>
      <c r="C7" s="39" t="s">
        <v>59</v>
      </c>
      <c r="D7" s="117" t="s">
        <v>101</v>
      </c>
      <c r="E7" s="36"/>
      <c r="F7" t="s">
        <v>113</v>
      </c>
    </row>
    <row r="8" spans="2:6" x14ac:dyDescent="0.25">
      <c r="B8" s="39">
        <v>5</v>
      </c>
      <c r="C8" s="39" t="s">
        <v>142</v>
      </c>
      <c r="D8" s="117" t="s">
        <v>141</v>
      </c>
      <c r="E8" s="36"/>
      <c r="F8" t="s">
        <v>118</v>
      </c>
    </row>
    <row r="9" spans="2:6" x14ac:dyDescent="0.25">
      <c r="B9" s="39">
        <v>6</v>
      </c>
      <c r="C9" s="39" t="s">
        <v>111</v>
      </c>
      <c r="D9" s="130" t="s">
        <v>145</v>
      </c>
      <c r="E9" s="36" t="s">
        <v>119</v>
      </c>
      <c r="F9" t="s">
        <v>114</v>
      </c>
    </row>
    <row r="11" spans="2:6" x14ac:dyDescent="0.25">
      <c r="B11" s="38" t="s">
        <v>97</v>
      </c>
      <c r="C11" s="2"/>
      <c r="D11" s="118"/>
      <c r="E11" s="2"/>
      <c r="F11" s="2"/>
    </row>
    <row r="12" spans="2:6" x14ac:dyDescent="0.25">
      <c r="B12">
        <v>1</v>
      </c>
      <c r="C12" t="s">
        <v>46</v>
      </c>
      <c r="D12" s="117" t="s">
        <v>104</v>
      </c>
      <c r="E12" s="36"/>
      <c r="F12" t="s">
        <v>112</v>
      </c>
    </row>
    <row r="13" spans="2:6" x14ac:dyDescent="0.25">
      <c r="B13" s="39">
        <f t="shared" ref="B13:B19" si="0">B12+1</f>
        <v>2</v>
      </c>
      <c r="C13" s="39" t="s">
        <v>63</v>
      </c>
      <c r="D13" s="117" t="s">
        <v>140</v>
      </c>
      <c r="E13" s="36"/>
      <c r="F13" t="s">
        <v>113</v>
      </c>
    </row>
    <row r="14" spans="2:6" x14ac:dyDescent="0.25">
      <c r="B14">
        <f t="shared" si="0"/>
        <v>3</v>
      </c>
      <c r="C14" t="s">
        <v>95</v>
      </c>
      <c r="D14" s="117" t="s">
        <v>105</v>
      </c>
      <c r="E14" s="36" t="s">
        <v>110</v>
      </c>
      <c r="F14" t="s">
        <v>117</v>
      </c>
    </row>
    <row r="15" spans="2:6" x14ac:dyDescent="0.25">
      <c r="B15">
        <f t="shared" si="0"/>
        <v>4</v>
      </c>
      <c r="C15" t="s">
        <v>120</v>
      </c>
      <c r="D15" s="117" t="s">
        <v>106</v>
      </c>
      <c r="E15" s="36" t="s">
        <v>110</v>
      </c>
      <c r="F15" t="s">
        <v>117</v>
      </c>
    </row>
    <row r="16" spans="2:6" x14ac:dyDescent="0.25">
      <c r="B16">
        <f t="shared" si="0"/>
        <v>5</v>
      </c>
      <c r="C16" t="s">
        <v>121</v>
      </c>
      <c r="D16" s="117" t="s">
        <v>106</v>
      </c>
      <c r="E16" s="36" t="s">
        <v>110</v>
      </c>
      <c r="F16" t="s">
        <v>117</v>
      </c>
    </row>
    <row r="17" spans="2:6" x14ac:dyDescent="0.25">
      <c r="B17">
        <f t="shared" si="0"/>
        <v>6</v>
      </c>
      <c r="C17" t="s">
        <v>122</v>
      </c>
      <c r="D17" s="117" t="s">
        <v>106</v>
      </c>
      <c r="E17" s="36" t="s">
        <v>110</v>
      </c>
      <c r="F17" t="s">
        <v>117</v>
      </c>
    </row>
    <row r="18" spans="2:6" x14ac:dyDescent="0.25">
      <c r="B18">
        <f t="shared" si="0"/>
        <v>7</v>
      </c>
      <c r="C18" t="s">
        <v>124</v>
      </c>
      <c r="D18" s="117" t="s">
        <v>107</v>
      </c>
      <c r="E18" s="36" t="s">
        <v>110</v>
      </c>
      <c r="F18" t="s">
        <v>117</v>
      </c>
    </row>
    <row r="19" spans="2:6" x14ac:dyDescent="0.25">
      <c r="B19">
        <f t="shared" si="0"/>
        <v>8</v>
      </c>
      <c r="C19" t="s">
        <v>98</v>
      </c>
      <c r="D19" s="117" t="s">
        <v>108</v>
      </c>
      <c r="E19" s="36" t="s">
        <v>110</v>
      </c>
      <c r="F19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BEDD-EA13-48C9-A0AE-06D6E3F40831}">
  <sheetPr>
    <tabColor rgb="FF002060"/>
  </sheetPr>
  <dimension ref="A1:AF326"/>
  <sheetViews>
    <sheetView showGridLines="0" zoomScale="85" zoomScaleNormal="85" workbookViewId="0">
      <pane xSplit="12" ySplit="2" topLeftCell="M3" activePane="bottomRight" state="frozen"/>
      <selection activeCell="Q1" sqref="Q1"/>
      <selection pane="topRight" activeCell="Q1" sqref="Q1"/>
      <selection pane="bottomLeft" activeCell="Q1" sqref="Q1"/>
      <selection pane="bottomRight" activeCell="R2" sqref="R2"/>
    </sheetView>
  </sheetViews>
  <sheetFormatPr defaultRowHeight="13.2" x14ac:dyDescent="0.25"/>
  <cols>
    <col min="1" max="8" width="8.77734375" style="2" customWidth="1"/>
    <col min="9" max="9" width="2.44140625" style="1" customWidth="1"/>
    <col min="10" max="10" width="4.44140625" customWidth="1"/>
    <col min="11" max="11" width="5" bestFit="1" customWidth="1"/>
    <col min="12" max="12" width="3" bestFit="1" customWidth="1"/>
    <col min="13" max="13" width="6" style="9" bestFit="1" customWidth="1"/>
    <col min="14" max="18" width="6" style="4" bestFit="1" customWidth="1"/>
    <col min="19" max="19" width="8.77734375" style="4" bestFit="1" customWidth="1"/>
    <col min="20" max="20" width="10" style="23" customWidth="1"/>
    <col min="21" max="22" width="10" style="4" customWidth="1"/>
    <col min="23" max="23" width="8.77734375" style="7"/>
    <col min="25" max="25" width="8.77734375" style="8"/>
    <col min="26" max="26" width="8.77734375" style="7" customWidth="1"/>
    <col min="27" max="27" width="8.77734375" customWidth="1"/>
    <col min="28" max="28" width="8.77734375" style="8" customWidth="1"/>
    <col min="29" max="31" width="8.77734375" style="40" customWidth="1"/>
    <col min="32" max="32" width="8.77734375" style="7" customWidth="1"/>
  </cols>
  <sheetData>
    <row r="1" spans="1:32" s="129" customFormat="1" x14ac:dyDescent="0.25">
      <c r="A1" s="119"/>
      <c r="B1" s="119"/>
      <c r="C1" s="119"/>
      <c r="D1" s="119"/>
      <c r="E1" s="119"/>
      <c r="F1" s="119"/>
      <c r="G1" s="119"/>
      <c r="H1" s="119"/>
      <c r="I1" s="120"/>
      <c r="J1" s="121"/>
      <c r="K1" s="121"/>
      <c r="L1" s="121"/>
      <c r="M1" s="122" t="s">
        <v>71</v>
      </c>
      <c r="N1" s="123"/>
      <c r="O1" s="123"/>
      <c r="P1" s="123"/>
      <c r="Q1" s="123"/>
      <c r="R1" s="123"/>
      <c r="S1" s="123"/>
      <c r="T1" s="124"/>
      <c r="U1" s="122" t="s">
        <v>67</v>
      </c>
      <c r="V1" s="124"/>
      <c r="W1" s="125" t="s">
        <v>57</v>
      </c>
      <c r="X1" s="126"/>
      <c r="Y1" s="127"/>
      <c r="Z1" s="125" t="s">
        <v>59</v>
      </c>
      <c r="AA1" s="126"/>
      <c r="AB1" s="126"/>
      <c r="AC1" s="126" t="s">
        <v>142</v>
      </c>
      <c r="AD1" s="126"/>
      <c r="AE1" s="127"/>
      <c r="AF1" s="128" t="s">
        <v>111</v>
      </c>
    </row>
    <row r="2" spans="1:32" s="47" customFormat="1" x14ac:dyDescent="0.25">
      <c r="A2" s="16"/>
      <c r="B2" s="16"/>
      <c r="C2" s="16"/>
      <c r="D2" s="16"/>
      <c r="E2" s="16"/>
      <c r="F2" s="16"/>
      <c r="G2" s="16"/>
      <c r="H2" s="16"/>
      <c r="I2" s="17"/>
      <c r="J2" s="18"/>
      <c r="K2" s="19"/>
      <c r="L2" s="20"/>
      <c r="M2" s="46" t="s">
        <v>48</v>
      </c>
      <c r="N2" s="47" t="s">
        <v>70</v>
      </c>
      <c r="O2" s="47" t="s">
        <v>53</v>
      </c>
      <c r="P2" s="47" t="s">
        <v>43</v>
      </c>
      <c r="Q2" s="47" t="s">
        <v>49</v>
      </c>
      <c r="R2" s="47" t="s">
        <v>50</v>
      </c>
      <c r="S2" s="47" t="s">
        <v>51</v>
      </c>
      <c r="T2" s="48" t="s">
        <v>52</v>
      </c>
      <c r="U2" s="47" t="s">
        <v>68</v>
      </c>
      <c r="V2" s="47" t="s">
        <v>69</v>
      </c>
      <c r="W2" s="46" t="s">
        <v>54</v>
      </c>
      <c r="X2" s="47" t="s">
        <v>55</v>
      </c>
      <c r="Y2" s="48" t="s">
        <v>56</v>
      </c>
      <c r="Z2" s="46" t="s">
        <v>60</v>
      </c>
      <c r="AA2" s="47" t="s">
        <v>61</v>
      </c>
      <c r="AB2" s="48" t="s">
        <v>61</v>
      </c>
      <c r="AC2" s="47" t="s">
        <v>64</v>
      </c>
      <c r="AD2" s="47" t="s">
        <v>143</v>
      </c>
      <c r="AE2" s="47" t="s">
        <v>144</v>
      </c>
      <c r="AF2" s="46" t="s">
        <v>60</v>
      </c>
    </row>
    <row r="3" spans="1:32" x14ac:dyDescent="0.25">
      <c r="K3">
        <v>2000</v>
      </c>
      <c r="L3">
        <v>1</v>
      </c>
    </row>
    <row r="4" spans="1:32" x14ac:dyDescent="0.25">
      <c r="L4">
        <f t="shared" ref="L4:L14" si="0">L3+1</f>
        <v>2</v>
      </c>
    </row>
    <row r="5" spans="1:32" x14ac:dyDescent="0.25">
      <c r="L5">
        <f t="shared" si="0"/>
        <v>3</v>
      </c>
    </row>
    <row r="6" spans="1:32" x14ac:dyDescent="0.25">
      <c r="L6">
        <f t="shared" si="0"/>
        <v>4</v>
      </c>
    </row>
    <row r="7" spans="1:32" x14ac:dyDescent="0.25">
      <c r="L7">
        <f t="shared" si="0"/>
        <v>5</v>
      </c>
    </row>
    <row r="8" spans="1:32" x14ac:dyDescent="0.25">
      <c r="L8">
        <f t="shared" si="0"/>
        <v>6</v>
      </c>
    </row>
    <row r="9" spans="1:32" x14ac:dyDescent="0.25">
      <c r="L9">
        <f t="shared" si="0"/>
        <v>7</v>
      </c>
    </row>
    <row r="10" spans="1:32" x14ac:dyDescent="0.25">
      <c r="L10">
        <f t="shared" si="0"/>
        <v>8</v>
      </c>
    </row>
    <row r="11" spans="1:32" x14ac:dyDescent="0.25">
      <c r="L11">
        <f t="shared" si="0"/>
        <v>9</v>
      </c>
    </row>
    <row r="12" spans="1:32" x14ac:dyDescent="0.25">
      <c r="L12">
        <f t="shared" si="0"/>
        <v>10</v>
      </c>
    </row>
    <row r="13" spans="1:32" x14ac:dyDescent="0.25">
      <c r="L13">
        <f t="shared" si="0"/>
        <v>11</v>
      </c>
    </row>
    <row r="14" spans="1:32" x14ac:dyDescent="0.25">
      <c r="L14">
        <f t="shared" si="0"/>
        <v>12</v>
      </c>
    </row>
    <row r="15" spans="1:32" x14ac:dyDescent="0.25">
      <c r="K15">
        <f>K3+1</f>
        <v>2001</v>
      </c>
      <c r="L15">
        <f>L3</f>
        <v>1</v>
      </c>
    </row>
    <row r="16" spans="1:32" x14ac:dyDescent="0.25">
      <c r="L16">
        <f t="shared" ref="L16:L79" si="1">L4</f>
        <v>2</v>
      </c>
    </row>
    <row r="17" spans="11:12" x14ac:dyDescent="0.25">
      <c r="L17">
        <f t="shared" si="1"/>
        <v>3</v>
      </c>
    </row>
    <row r="18" spans="11:12" x14ac:dyDescent="0.25">
      <c r="L18">
        <f t="shared" si="1"/>
        <v>4</v>
      </c>
    </row>
    <row r="19" spans="11:12" x14ac:dyDescent="0.25">
      <c r="L19">
        <f t="shared" si="1"/>
        <v>5</v>
      </c>
    </row>
    <row r="20" spans="11:12" x14ac:dyDescent="0.25">
      <c r="L20">
        <f t="shared" si="1"/>
        <v>6</v>
      </c>
    </row>
    <row r="21" spans="11:12" x14ac:dyDescent="0.25">
      <c r="L21">
        <f t="shared" si="1"/>
        <v>7</v>
      </c>
    </row>
    <row r="22" spans="11:12" x14ac:dyDescent="0.25">
      <c r="L22">
        <f t="shared" si="1"/>
        <v>8</v>
      </c>
    </row>
    <row r="23" spans="11:12" x14ac:dyDescent="0.25">
      <c r="L23">
        <f t="shared" si="1"/>
        <v>9</v>
      </c>
    </row>
    <row r="24" spans="11:12" x14ac:dyDescent="0.25">
      <c r="L24">
        <f t="shared" si="1"/>
        <v>10</v>
      </c>
    </row>
    <row r="25" spans="11:12" x14ac:dyDescent="0.25">
      <c r="L25">
        <f t="shared" si="1"/>
        <v>11</v>
      </c>
    </row>
    <row r="26" spans="11:12" x14ac:dyDescent="0.25">
      <c r="L26">
        <f t="shared" si="1"/>
        <v>12</v>
      </c>
    </row>
    <row r="27" spans="11:12" x14ac:dyDescent="0.25">
      <c r="K27">
        <f t="shared" ref="K27" si="2">K15+1</f>
        <v>2002</v>
      </c>
      <c r="L27">
        <f t="shared" si="1"/>
        <v>1</v>
      </c>
    </row>
    <row r="28" spans="11:12" x14ac:dyDescent="0.25">
      <c r="L28">
        <f t="shared" si="1"/>
        <v>2</v>
      </c>
    </row>
    <row r="29" spans="11:12" x14ac:dyDescent="0.25">
      <c r="L29">
        <f t="shared" si="1"/>
        <v>3</v>
      </c>
    </row>
    <row r="30" spans="11:12" x14ac:dyDescent="0.25">
      <c r="L30">
        <f t="shared" si="1"/>
        <v>4</v>
      </c>
    </row>
    <row r="31" spans="11:12" x14ac:dyDescent="0.25">
      <c r="L31">
        <f t="shared" si="1"/>
        <v>5</v>
      </c>
    </row>
    <row r="32" spans="11:12" x14ac:dyDescent="0.25">
      <c r="L32">
        <f t="shared" si="1"/>
        <v>6</v>
      </c>
    </row>
    <row r="33" spans="11:32" x14ac:dyDescent="0.25">
      <c r="L33">
        <f t="shared" si="1"/>
        <v>7</v>
      </c>
    </row>
    <row r="34" spans="11:32" x14ac:dyDescent="0.25">
      <c r="L34">
        <f t="shared" si="1"/>
        <v>8</v>
      </c>
    </row>
    <row r="35" spans="11:32" x14ac:dyDescent="0.25">
      <c r="L35">
        <f t="shared" si="1"/>
        <v>9</v>
      </c>
    </row>
    <row r="36" spans="11:32" x14ac:dyDescent="0.25">
      <c r="L36">
        <f t="shared" si="1"/>
        <v>10</v>
      </c>
    </row>
    <row r="37" spans="11:32" x14ac:dyDescent="0.25">
      <c r="L37">
        <f t="shared" si="1"/>
        <v>11</v>
      </c>
    </row>
    <row r="38" spans="11:32" x14ac:dyDescent="0.25">
      <c r="L38">
        <f t="shared" si="1"/>
        <v>12</v>
      </c>
    </row>
    <row r="39" spans="11:32" x14ac:dyDescent="0.25">
      <c r="K39">
        <f t="shared" ref="K39" si="3">K27+1</f>
        <v>2003</v>
      </c>
      <c r="L39">
        <f t="shared" si="1"/>
        <v>1</v>
      </c>
    </row>
    <row r="40" spans="11:32" x14ac:dyDescent="0.25">
      <c r="L40">
        <f t="shared" si="1"/>
        <v>2</v>
      </c>
      <c r="Z40" s="21">
        <v>-1.6831326612103702E-2</v>
      </c>
      <c r="AF40" s="21">
        <v>-1.6831326612103702E-2</v>
      </c>
    </row>
    <row r="41" spans="11:32" x14ac:dyDescent="0.25">
      <c r="L41">
        <f t="shared" si="1"/>
        <v>3</v>
      </c>
      <c r="Z41" s="21">
        <v>-0.50224963104857301</v>
      </c>
      <c r="AF41" s="21">
        <v>-0.50224963104857301</v>
      </c>
    </row>
    <row r="42" spans="11:32" x14ac:dyDescent="0.25">
      <c r="L42">
        <f t="shared" si="1"/>
        <v>4</v>
      </c>
      <c r="Z42" s="21">
        <v>-6.5488151627272007E-2</v>
      </c>
      <c r="AF42" s="21">
        <v>-6.5488151627272007E-2</v>
      </c>
    </row>
    <row r="43" spans="11:32" x14ac:dyDescent="0.25">
      <c r="L43">
        <f t="shared" si="1"/>
        <v>5</v>
      </c>
      <c r="Z43" s="21">
        <v>9.8817447027722299E-2</v>
      </c>
      <c r="AF43" s="21">
        <v>9.8817447027722299E-2</v>
      </c>
    </row>
    <row r="44" spans="11:32" x14ac:dyDescent="0.25">
      <c r="L44">
        <f t="shared" si="1"/>
        <v>6</v>
      </c>
      <c r="Z44" s="21">
        <v>0.193719352895275</v>
      </c>
      <c r="AF44" s="21">
        <v>0.193719352895275</v>
      </c>
    </row>
    <row r="45" spans="11:32" x14ac:dyDescent="0.25">
      <c r="L45">
        <f t="shared" si="1"/>
        <v>7</v>
      </c>
      <c r="Z45" s="21">
        <v>6.0139218768519603E-2</v>
      </c>
      <c r="AF45" s="21">
        <v>6.0139218768519603E-2</v>
      </c>
    </row>
    <row r="46" spans="11:32" x14ac:dyDescent="0.25">
      <c r="L46">
        <f t="shared" si="1"/>
        <v>8</v>
      </c>
      <c r="Z46" s="21">
        <v>8.8858043459798003E-2</v>
      </c>
      <c r="AF46" s="21">
        <v>8.8858043459798003E-2</v>
      </c>
    </row>
    <row r="47" spans="11:32" x14ac:dyDescent="0.25">
      <c r="L47">
        <f t="shared" si="1"/>
        <v>9</v>
      </c>
      <c r="Z47" s="21">
        <v>2.0815232432109501E-3</v>
      </c>
      <c r="AF47" s="21">
        <v>2.0815232432109501E-3</v>
      </c>
    </row>
    <row r="48" spans="11:32" x14ac:dyDescent="0.25">
      <c r="L48">
        <f t="shared" si="1"/>
        <v>10</v>
      </c>
      <c r="Z48" s="21">
        <v>0.138737180320194</v>
      </c>
      <c r="AF48" s="21">
        <v>0.138737180320194</v>
      </c>
    </row>
    <row r="49" spans="11:32" x14ac:dyDescent="0.25">
      <c r="L49">
        <f t="shared" si="1"/>
        <v>11</v>
      </c>
      <c r="Z49" s="21">
        <v>8.1391962406253598E-2</v>
      </c>
      <c r="AF49" s="21">
        <v>8.1391962406253598E-2</v>
      </c>
    </row>
    <row r="50" spans="11:32" x14ac:dyDescent="0.25">
      <c r="L50">
        <f t="shared" si="1"/>
        <v>12</v>
      </c>
      <c r="Z50" s="21">
        <v>0.11335857510166</v>
      </c>
      <c r="AF50" s="21">
        <v>0.11335857510166</v>
      </c>
    </row>
    <row r="51" spans="11:32" x14ac:dyDescent="0.25">
      <c r="K51">
        <f t="shared" ref="K51" si="4">K39+1</f>
        <v>2004</v>
      </c>
      <c r="L51">
        <f t="shared" si="1"/>
        <v>1</v>
      </c>
      <c r="Z51" s="21">
        <v>-0.19583351103781799</v>
      </c>
      <c r="AF51" s="21">
        <v>-0.19583351103781799</v>
      </c>
    </row>
    <row r="52" spans="11:32" x14ac:dyDescent="0.25">
      <c r="L52">
        <f t="shared" si="1"/>
        <v>2</v>
      </c>
      <c r="Z52" s="21">
        <v>-2.3903111365073899E-2</v>
      </c>
      <c r="AF52" s="21">
        <v>-2.3903111365073899E-2</v>
      </c>
    </row>
    <row r="53" spans="11:32" x14ac:dyDescent="0.25">
      <c r="L53">
        <f t="shared" si="1"/>
        <v>3</v>
      </c>
      <c r="Z53" s="21">
        <v>0.17957299605573701</v>
      </c>
      <c r="AF53" s="21">
        <v>0.17957299605573701</v>
      </c>
    </row>
    <row r="54" spans="11:32" x14ac:dyDescent="0.25">
      <c r="L54">
        <f t="shared" si="1"/>
        <v>4</v>
      </c>
      <c r="Z54" s="21">
        <v>3.7810413654216099E-2</v>
      </c>
      <c r="AF54" s="21">
        <v>3.7810413654216099E-2</v>
      </c>
    </row>
    <row r="55" spans="11:32" x14ac:dyDescent="0.25">
      <c r="L55">
        <f t="shared" si="1"/>
        <v>5</v>
      </c>
      <c r="Z55" s="21">
        <v>0.10715160579152599</v>
      </c>
      <c r="AF55" s="21">
        <v>0.10715160579152599</v>
      </c>
    </row>
    <row r="56" spans="11:32" x14ac:dyDescent="0.25">
      <c r="L56">
        <f t="shared" si="1"/>
        <v>6</v>
      </c>
      <c r="Z56" s="21">
        <v>2.2643147959938E-2</v>
      </c>
      <c r="AF56" s="21">
        <v>2.2643147959938E-2</v>
      </c>
    </row>
    <row r="57" spans="11:32" x14ac:dyDescent="0.25">
      <c r="L57">
        <f t="shared" si="1"/>
        <v>7</v>
      </c>
      <c r="Z57" s="21">
        <v>6.0290981528702603E-2</v>
      </c>
      <c r="AF57" s="21">
        <v>6.0290981528702603E-2</v>
      </c>
    </row>
    <row r="58" spans="11:32" x14ac:dyDescent="0.25">
      <c r="L58">
        <f t="shared" si="1"/>
        <v>8</v>
      </c>
      <c r="Z58" s="21">
        <v>8.4411738102608602E-2</v>
      </c>
      <c r="AF58" s="21">
        <v>8.4411738102608602E-2</v>
      </c>
    </row>
    <row r="59" spans="11:32" x14ac:dyDescent="0.25">
      <c r="L59">
        <f t="shared" si="1"/>
        <v>9</v>
      </c>
      <c r="Z59" s="21">
        <v>0.12957053638649199</v>
      </c>
      <c r="AF59" s="21">
        <v>0.12957053638649199</v>
      </c>
    </row>
    <row r="60" spans="11:32" x14ac:dyDescent="0.25">
      <c r="L60">
        <f t="shared" si="1"/>
        <v>10</v>
      </c>
      <c r="Z60" s="21">
        <v>0.11820734441038799</v>
      </c>
      <c r="AF60" s="21">
        <v>0.11820734441038799</v>
      </c>
    </row>
    <row r="61" spans="11:32" x14ac:dyDescent="0.25">
      <c r="L61">
        <f t="shared" si="1"/>
        <v>11</v>
      </c>
      <c r="Z61" s="21">
        <v>5.1654834991653797E-2</v>
      </c>
      <c r="AF61" s="21">
        <v>5.1654834991653797E-2</v>
      </c>
    </row>
    <row r="62" spans="11:32" x14ac:dyDescent="0.25">
      <c r="L62">
        <f t="shared" si="1"/>
        <v>12</v>
      </c>
      <c r="Z62" s="21">
        <v>0.13374263190130201</v>
      </c>
      <c r="AF62" s="21">
        <v>0.13374263190130201</v>
      </c>
    </row>
    <row r="63" spans="11:32" x14ac:dyDescent="0.25">
      <c r="K63">
        <f t="shared" ref="K63" si="5">K51+1</f>
        <v>2005</v>
      </c>
      <c r="L63">
        <f t="shared" si="1"/>
        <v>1</v>
      </c>
      <c r="Z63" s="21">
        <v>0.21153775838422501</v>
      </c>
      <c r="AF63" s="21">
        <v>0.21153775838422501</v>
      </c>
    </row>
    <row r="64" spans="11:32" x14ac:dyDescent="0.25">
      <c r="L64">
        <f t="shared" si="1"/>
        <v>2</v>
      </c>
      <c r="Z64" s="21">
        <v>0.18024940538899001</v>
      </c>
      <c r="AF64" s="21">
        <v>0.18024940538899001</v>
      </c>
    </row>
    <row r="65" spans="11:32" x14ac:dyDescent="0.25">
      <c r="L65">
        <f t="shared" si="1"/>
        <v>3</v>
      </c>
      <c r="Z65" s="21">
        <v>0.11274218649587101</v>
      </c>
      <c r="AF65" s="21">
        <v>0.11274218649587101</v>
      </c>
    </row>
    <row r="66" spans="11:32" x14ac:dyDescent="0.25">
      <c r="L66">
        <f t="shared" si="1"/>
        <v>4</v>
      </c>
      <c r="Z66" s="21">
        <v>-0.219884918960919</v>
      </c>
      <c r="AF66" s="21">
        <v>-0.219884918960919</v>
      </c>
    </row>
    <row r="67" spans="11:32" x14ac:dyDescent="0.25">
      <c r="L67">
        <f t="shared" si="1"/>
        <v>5</v>
      </c>
      <c r="Z67" s="21">
        <v>-0.26293093100014098</v>
      </c>
      <c r="AF67" s="21">
        <v>-0.26293093100014098</v>
      </c>
    </row>
    <row r="68" spans="11:32" x14ac:dyDescent="0.25">
      <c r="L68">
        <f t="shared" si="1"/>
        <v>6</v>
      </c>
      <c r="Z68" s="21">
        <v>-0.177300351301382</v>
      </c>
      <c r="AF68" s="21">
        <v>-0.177300351301382</v>
      </c>
    </row>
    <row r="69" spans="11:32" x14ac:dyDescent="0.25">
      <c r="L69">
        <f t="shared" si="1"/>
        <v>7</v>
      </c>
      <c r="Z69" s="21">
        <v>-4.7832831252520698E-2</v>
      </c>
      <c r="AF69" s="21">
        <v>-4.7832831252520698E-2</v>
      </c>
    </row>
    <row r="70" spans="11:32" x14ac:dyDescent="0.25">
      <c r="L70">
        <f t="shared" si="1"/>
        <v>8</v>
      </c>
      <c r="Z70" s="21">
        <v>3.7732261833790297E-2</v>
      </c>
      <c r="AF70" s="21">
        <v>3.7732261833790297E-2</v>
      </c>
    </row>
    <row r="71" spans="11:32" x14ac:dyDescent="0.25">
      <c r="L71">
        <f t="shared" si="1"/>
        <v>9</v>
      </c>
      <c r="Z71" s="21">
        <v>6.8589703983482797E-2</v>
      </c>
      <c r="AF71" s="21">
        <v>6.8589703983482797E-2</v>
      </c>
    </row>
    <row r="72" spans="11:32" x14ac:dyDescent="0.25">
      <c r="L72">
        <f t="shared" si="1"/>
        <v>10</v>
      </c>
      <c r="Z72" s="21">
        <v>0.157084358180235</v>
      </c>
      <c r="AF72" s="21">
        <v>0.157084358180235</v>
      </c>
    </row>
    <row r="73" spans="11:32" x14ac:dyDescent="0.25">
      <c r="L73">
        <f t="shared" si="1"/>
        <v>11</v>
      </c>
      <c r="Z73" s="21">
        <v>-2.1829488690457199E-2</v>
      </c>
      <c r="AF73" s="21">
        <v>-2.1829488690457199E-2</v>
      </c>
    </row>
    <row r="74" spans="11:32" x14ac:dyDescent="0.25">
      <c r="L74">
        <f t="shared" si="1"/>
        <v>12</v>
      </c>
      <c r="Z74" s="21">
        <v>7.4454359679547499E-2</v>
      </c>
      <c r="AF74" s="21">
        <v>7.4454359679547499E-2</v>
      </c>
    </row>
    <row r="75" spans="11:32" x14ac:dyDescent="0.25">
      <c r="K75">
        <f t="shared" ref="K75" si="6">K63+1</f>
        <v>2006</v>
      </c>
      <c r="L75">
        <f t="shared" si="1"/>
        <v>1</v>
      </c>
      <c r="X75" s="5">
        <v>12.166836847946726</v>
      </c>
      <c r="Z75" s="21">
        <v>-0.12590309725405899</v>
      </c>
      <c r="AF75" s="21">
        <v>-0.12590309725405899</v>
      </c>
    </row>
    <row r="76" spans="11:32" x14ac:dyDescent="0.25">
      <c r="L76">
        <f t="shared" si="1"/>
        <v>2</v>
      </c>
      <c r="X76" s="5">
        <v>6.8059352142110896</v>
      </c>
      <c r="Z76" s="21">
        <v>1.8654314428529599E-2</v>
      </c>
      <c r="AF76" s="21">
        <v>1.8654314428529599E-2</v>
      </c>
    </row>
    <row r="77" spans="11:32" x14ac:dyDescent="0.25">
      <c r="L77">
        <f t="shared" si="1"/>
        <v>3</v>
      </c>
      <c r="X77" s="5">
        <v>5.4928348909657529</v>
      </c>
      <c r="Z77" s="21">
        <v>-0.15522617568179001</v>
      </c>
      <c r="AF77" s="21">
        <v>-0.15522617568179001</v>
      </c>
    </row>
    <row r="78" spans="11:32" x14ac:dyDescent="0.25">
      <c r="L78">
        <f t="shared" si="1"/>
        <v>4</v>
      </c>
      <c r="X78" s="5">
        <v>1.4701754385965131</v>
      </c>
      <c r="Z78" s="21">
        <v>0.17185260515964701</v>
      </c>
      <c r="AF78" s="21">
        <v>0.17185260515964701</v>
      </c>
    </row>
    <row r="79" spans="11:32" x14ac:dyDescent="0.25">
      <c r="L79">
        <f t="shared" si="1"/>
        <v>5</v>
      </c>
      <c r="X79" s="5">
        <v>-1.7470112781955009</v>
      </c>
      <c r="Z79" s="21">
        <v>0.17823082551494199</v>
      </c>
      <c r="AF79" s="21">
        <v>0.17823082551494199</v>
      </c>
    </row>
    <row r="80" spans="11:32" x14ac:dyDescent="0.25">
      <c r="L80">
        <f t="shared" ref="L80:L143" si="7">L68</f>
        <v>6</v>
      </c>
      <c r="X80" s="5">
        <v>-4.4609205776173155</v>
      </c>
      <c r="Z80" s="21">
        <v>4.1495068686918601E-2</v>
      </c>
      <c r="AF80" s="21">
        <v>4.1495068686918601E-2</v>
      </c>
    </row>
    <row r="81" spans="11:32" x14ac:dyDescent="0.25">
      <c r="L81">
        <f t="shared" si="7"/>
        <v>7</v>
      </c>
      <c r="X81" s="5">
        <v>-5.224956014362661</v>
      </c>
      <c r="Z81" s="21">
        <v>7.9104898271038199E-2</v>
      </c>
      <c r="AF81" s="21">
        <v>7.9104898271038199E-2</v>
      </c>
    </row>
    <row r="82" spans="11:32" x14ac:dyDescent="0.25">
      <c r="L82">
        <f t="shared" si="7"/>
        <v>8</v>
      </c>
      <c r="X82" s="5">
        <v>1.5602038834951344</v>
      </c>
      <c r="Z82" s="21">
        <v>-5.4385417636969302E-3</v>
      </c>
      <c r="AF82" s="21">
        <v>-5.4385417636969302E-3</v>
      </c>
    </row>
    <row r="83" spans="11:32" x14ac:dyDescent="0.25">
      <c r="L83">
        <f t="shared" si="7"/>
        <v>9</v>
      </c>
      <c r="X83" s="5">
        <v>4.2960500000000224</v>
      </c>
      <c r="Z83" s="21">
        <v>0.147638237825549</v>
      </c>
      <c r="AF83" s="21">
        <v>0.147638237825549</v>
      </c>
    </row>
    <row r="84" spans="11:32" x14ac:dyDescent="0.25">
      <c r="L84">
        <f t="shared" si="7"/>
        <v>10</v>
      </c>
      <c r="X84" s="5">
        <v>7.7817409326425064</v>
      </c>
      <c r="Z84" s="21">
        <v>2.0051543696736601E-2</v>
      </c>
      <c r="AF84" s="21">
        <v>2.0051543696736601E-2</v>
      </c>
    </row>
    <row r="85" spans="11:32" x14ac:dyDescent="0.25">
      <c r="L85">
        <f t="shared" si="7"/>
        <v>11</v>
      </c>
      <c r="X85" s="5">
        <v>7.6984313725490239</v>
      </c>
      <c r="Z85" s="21">
        <v>4.1034222169867497E-2</v>
      </c>
      <c r="AF85" s="21">
        <v>4.1034222169867497E-2</v>
      </c>
    </row>
    <row r="86" spans="11:32" x14ac:dyDescent="0.25">
      <c r="L86">
        <f t="shared" si="7"/>
        <v>12</v>
      </c>
      <c r="W86" s="10">
        <v>6.1608960780810094</v>
      </c>
      <c r="X86" s="5">
        <v>4.8305850824475156</v>
      </c>
      <c r="Z86" s="21">
        <v>-5.9751618301917796E-3</v>
      </c>
      <c r="AF86" s="21">
        <v>-5.9751618301917796E-3</v>
      </c>
    </row>
    <row r="87" spans="11:32" x14ac:dyDescent="0.25">
      <c r="K87">
        <f t="shared" ref="K87" si="8">K75+1</f>
        <v>2007</v>
      </c>
      <c r="L87">
        <f t="shared" si="7"/>
        <v>1</v>
      </c>
      <c r="W87" s="10">
        <v>5.2316374441428053</v>
      </c>
      <c r="X87" s="5">
        <v>3.1223209599779622</v>
      </c>
      <c r="Y87" s="11">
        <v>4.0443904574172223</v>
      </c>
      <c r="Z87" s="21">
        <v>8.6659796503020095E-2</v>
      </c>
      <c r="AF87" s="21">
        <v>8.6659796503020095E-2</v>
      </c>
    </row>
    <row r="88" spans="11:32" x14ac:dyDescent="0.25">
      <c r="L88">
        <f t="shared" si="7"/>
        <v>2</v>
      </c>
      <c r="W88" s="10">
        <v>6.3979226380201908</v>
      </c>
      <c r="X88" s="5">
        <v>4.1788503411689559</v>
      </c>
      <c r="Y88" s="11">
        <v>3.5128454565416973</v>
      </c>
      <c r="Z88" s="21">
        <v>-0.12699953731257699</v>
      </c>
      <c r="AF88" s="21">
        <v>-0.12699953731257699</v>
      </c>
    </row>
    <row r="89" spans="11:32" x14ac:dyDescent="0.25">
      <c r="L89">
        <f t="shared" si="7"/>
        <v>3</v>
      </c>
      <c r="W89" s="10">
        <v>7.2069844073311629</v>
      </c>
      <c r="X89" s="5">
        <v>5.3027672123917959</v>
      </c>
      <c r="Y89" s="11">
        <v>3.9978804554328207</v>
      </c>
      <c r="Z89" s="21">
        <v>-0.19789817418445299</v>
      </c>
      <c r="AF89" s="21">
        <v>-0.19789817418445299</v>
      </c>
    </row>
    <row r="90" spans="11:32" x14ac:dyDescent="0.25">
      <c r="L90">
        <f t="shared" si="7"/>
        <v>4</v>
      </c>
      <c r="W90" s="10">
        <v>6.0159704517909205</v>
      </c>
      <c r="X90" s="5">
        <v>3.9802167740547012</v>
      </c>
      <c r="Y90" s="11">
        <v>3.2197172118357855</v>
      </c>
      <c r="Z90" s="21">
        <v>4.4189007956975598E-2</v>
      </c>
      <c r="AF90" s="21">
        <v>4.4189007956975598E-2</v>
      </c>
    </row>
    <row r="91" spans="11:32" x14ac:dyDescent="0.25">
      <c r="L91">
        <f t="shared" si="7"/>
        <v>5</v>
      </c>
      <c r="W91" s="10">
        <v>5.652699701980012</v>
      </c>
      <c r="X91" s="5">
        <v>4.6730197612079687</v>
      </c>
      <c r="Y91" s="11">
        <v>2.7506740248659298</v>
      </c>
      <c r="Z91" s="21">
        <v>-0.13088315970810699</v>
      </c>
      <c r="AF91" s="21">
        <v>-0.13088315970810699</v>
      </c>
    </row>
    <row r="92" spans="11:32" x14ac:dyDescent="0.25">
      <c r="L92">
        <f t="shared" si="7"/>
        <v>6</v>
      </c>
      <c r="W92" s="10">
        <v>5.9281567035731229</v>
      </c>
      <c r="X92" s="5">
        <v>5.4991389351513673</v>
      </c>
      <c r="Y92" s="11">
        <v>2.6965158909784606</v>
      </c>
      <c r="Z92" s="21">
        <v>-9.1030388354538999E-2</v>
      </c>
      <c r="AF92" s="21">
        <v>-9.1030388354538999E-2</v>
      </c>
    </row>
    <row r="93" spans="11:32" x14ac:dyDescent="0.25">
      <c r="L93">
        <f t="shared" si="7"/>
        <v>7</v>
      </c>
      <c r="W93" s="10">
        <v>6.4312397356556232</v>
      </c>
      <c r="X93" s="5">
        <v>6.4297117281374137</v>
      </c>
      <c r="Y93" s="11">
        <v>3.5549964932832836</v>
      </c>
      <c r="Z93" s="21">
        <v>-0.12652760723206199</v>
      </c>
      <c r="AF93" s="21">
        <v>-0.12652760723206199</v>
      </c>
    </row>
    <row r="94" spans="11:32" x14ac:dyDescent="0.25">
      <c r="L94">
        <f t="shared" si="7"/>
        <v>8</v>
      </c>
      <c r="W94" s="10">
        <v>10.751622022903547</v>
      </c>
      <c r="X94" s="5">
        <v>10.367507875428249</v>
      </c>
      <c r="Y94" s="11">
        <v>8.1467499618573811</v>
      </c>
      <c r="Z94" s="21">
        <v>-0.12941376197234999</v>
      </c>
      <c r="AF94" s="21">
        <v>-0.12941376197234999</v>
      </c>
    </row>
    <row r="95" spans="11:32" x14ac:dyDescent="0.25">
      <c r="L95">
        <f t="shared" si="7"/>
        <v>9</v>
      </c>
      <c r="W95" s="10">
        <v>12.572631398652888</v>
      </c>
      <c r="X95" s="5">
        <v>12.125511944124437</v>
      </c>
      <c r="Y95" s="11">
        <v>9.1480524908280927</v>
      </c>
      <c r="Z95" s="21">
        <v>-2.95889922180952E-2</v>
      </c>
      <c r="AF95" s="21">
        <v>-2.95889922180952E-2</v>
      </c>
    </row>
    <row r="96" spans="11:32" x14ac:dyDescent="0.25">
      <c r="L96">
        <f t="shared" si="7"/>
        <v>10</v>
      </c>
      <c r="W96" s="10">
        <v>14.701124071372902</v>
      </c>
      <c r="X96" s="5">
        <v>13.917100553815429</v>
      </c>
      <c r="Y96" s="11">
        <v>12.902392509589774</v>
      </c>
      <c r="Z96" s="21">
        <v>-6.0240291587664502E-2</v>
      </c>
      <c r="AF96" s="21">
        <v>-6.0240291587664502E-2</v>
      </c>
    </row>
    <row r="97" spans="11:32" x14ac:dyDescent="0.25">
      <c r="L97">
        <f t="shared" si="7"/>
        <v>11</v>
      </c>
      <c r="W97" s="10">
        <v>16.707622628131418</v>
      </c>
      <c r="X97" s="5">
        <v>13.967382836567879</v>
      </c>
      <c r="Y97" s="11">
        <v>13.167338019305049</v>
      </c>
      <c r="Z97" s="21">
        <v>0.210361185648125</v>
      </c>
      <c r="AF97" s="21">
        <v>0.210361185648125</v>
      </c>
    </row>
    <row r="98" spans="11:32" x14ac:dyDescent="0.25">
      <c r="L98">
        <f t="shared" si="7"/>
        <v>12</v>
      </c>
      <c r="W98" s="10">
        <v>17.767749614155719</v>
      </c>
      <c r="X98" s="5">
        <v>14.018942185878547</v>
      </c>
      <c r="Y98" s="11">
        <v>12.492473958290844</v>
      </c>
      <c r="Z98" s="21">
        <v>0.10547963558884101</v>
      </c>
      <c r="AF98" s="21">
        <v>0.10547963558884101</v>
      </c>
    </row>
    <row r="99" spans="11:32" x14ac:dyDescent="0.25">
      <c r="K99">
        <f t="shared" ref="K99" si="9">K87+1</f>
        <v>2008</v>
      </c>
      <c r="L99">
        <f t="shared" si="7"/>
        <v>1</v>
      </c>
      <c r="M99" s="9">
        <v>8.4000000000000005E-2</v>
      </c>
      <c r="O99" s="4">
        <v>9.3019514083862304E-2</v>
      </c>
      <c r="P99" s="4">
        <v>9.821854591369629E-2</v>
      </c>
      <c r="R99" s="4">
        <v>9.2984952926635736E-2</v>
      </c>
      <c r="W99" s="10">
        <v>19.933115570769544</v>
      </c>
      <c r="X99" s="5">
        <v>17.5</v>
      </c>
      <c r="Y99" s="11">
        <v>13.744017933188275</v>
      </c>
      <c r="Z99" s="21">
        <v>-2.1134814803575201E-2</v>
      </c>
      <c r="AF99" s="21">
        <v>-2.1134814803575201E-2</v>
      </c>
    </row>
    <row r="100" spans="11:32" x14ac:dyDescent="0.25">
      <c r="L100">
        <f t="shared" si="7"/>
        <v>2</v>
      </c>
      <c r="M100" s="9">
        <v>8.4000000000000005E-2</v>
      </c>
      <c r="N100" s="4">
        <v>9.2177177027834623E-2</v>
      </c>
      <c r="O100" s="4">
        <v>9.2843065261840815E-2</v>
      </c>
      <c r="P100" s="4">
        <v>9.8700599670410158E-2</v>
      </c>
      <c r="Q100" s="4">
        <v>8.4483816448740812E-2</v>
      </c>
      <c r="R100" s="4">
        <v>9.2681226730346677E-2</v>
      </c>
      <c r="S100" s="4">
        <v>0.16</v>
      </c>
      <c r="T100" s="23" t="s">
        <v>47</v>
      </c>
      <c r="W100" s="10">
        <v>21.025559864655932</v>
      </c>
      <c r="X100" s="5">
        <v>17.899999999999999</v>
      </c>
      <c r="Y100" s="11">
        <v>15.650035282101641</v>
      </c>
      <c r="Z100" s="21">
        <v>0.223897733842677</v>
      </c>
      <c r="AF100" s="21">
        <v>0.223897733842677</v>
      </c>
    </row>
    <row r="101" spans="11:32" x14ac:dyDescent="0.25">
      <c r="L101">
        <f t="shared" si="7"/>
        <v>3</v>
      </c>
      <c r="M101" s="9">
        <v>9.7500000000000003E-2</v>
      </c>
      <c r="N101" s="4">
        <v>0.10206482887268066</v>
      </c>
      <c r="O101" s="4">
        <v>0.10564630508422851</v>
      </c>
      <c r="P101" s="4">
        <v>9.9182233810424805E-2</v>
      </c>
      <c r="Q101" s="4">
        <v>9.7912635803222653E-2</v>
      </c>
      <c r="R101" s="4">
        <v>0.10551814079284667</v>
      </c>
      <c r="S101" s="4" t="s">
        <v>47</v>
      </c>
      <c r="T101" s="23" t="s">
        <v>47</v>
      </c>
      <c r="W101" s="10">
        <v>24.041709126716569</v>
      </c>
      <c r="X101" s="5">
        <v>20.6</v>
      </c>
      <c r="Y101" s="11">
        <v>17.566578599967769</v>
      </c>
      <c r="Z101" s="21">
        <v>0.3969546164378</v>
      </c>
      <c r="AF101" s="21">
        <v>0.3969546164378</v>
      </c>
    </row>
    <row r="102" spans="11:32" x14ac:dyDescent="0.25">
      <c r="L102">
        <f t="shared" si="7"/>
        <v>4</v>
      </c>
      <c r="M102" s="9">
        <v>9.7500000000000003E-2</v>
      </c>
      <c r="N102" s="4">
        <v>0.10155220985412598</v>
      </c>
      <c r="O102" s="4">
        <v>0.10459766387939454</v>
      </c>
      <c r="P102" s="4">
        <v>9.9663877487182612E-2</v>
      </c>
      <c r="Q102" s="4">
        <v>9.7494640350341791E-2</v>
      </c>
      <c r="R102" s="4">
        <v>0.10445265769958496</v>
      </c>
      <c r="S102" s="4" t="s">
        <v>47</v>
      </c>
      <c r="T102" s="23" t="s">
        <v>47</v>
      </c>
      <c r="W102" s="10">
        <v>29.39857441013794</v>
      </c>
      <c r="X102" s="5">
        <v>26.4</v>
      </c>
      <c r="Y102" s="11">
        <v>21.63568313657585</v>
      </c>
      <c r="Z102" s="21">
        <v>0.37587338576451601</v>
      </c>
      <c r="AF102" s="21">
        <v>0.37587338576451601</v>
      </c>
    </row>
    <row r="103" spans="11:32" x14ac:dyDescent="0.25">
      <c r="L103">
        <f t="shared" si="7"/>
        <v>5</v>
      </c>
      <c r="M103" s="9">
        <v>9.7500000000000003E-2</v>
      </c>
      <c r="N103" s="4">
        <v>0.10122403144836425</v>
      </c>
      <c r="O103" s="4">
        <v>0.10428555488586426</v>
      </c>
      <c r="P103" s="4">
        <v>0.10014496803283691</v>
      </c>
      <c r="Q103" s="4">
        <v>9.7494640350341791E-2</v>
      </c>
      <c r="R103" s="4">
        <v>0.10297095298767089</v>
      </c>
      <c r="S103" s="4" t="s">
        <v>47</v>
      </c>
      <c r="T103" s="23" t="s">
        <v>47</v>
      </c>
      <c r="W103" s="10">
        <v>33.905371625681823</v>
      </c>
      <c r="X103" s="5">
        <v>32.6</v>
      </c>
      <c r="Y103" s="11">
        <v>27.127447907200462</v>
      </c>
      <c r="Z103" s="21">
        <v>-6.3132175101653601E-2</v>
      </c>
      <c r="AF103" s="21">
        <v>-6.3132175101653601E-2</v>
      </c>
    </row>
    <row r="104" spans="11:32" x14ac:dyDescent="0.25">
      <c r="L104">
        <f t="shared" si="7"/>
        <v>6</v>
      </c>
      <c r="M104" s="9">
        <v>9.7500000000000003E-2</v>
      </c>
      <c r="N104" s="4">
        <v>0.10057867050170899</v>
      </c>
      <c r="O104" s="4">
        <v>0.10310159683227539</v>
      </c>
      <c r="P104" s="4">
        <v>0.10062522888183593</v>
      </c>
      <c r="Q104" s="4">
        <v>9.7494640350341791E-2</v>
      </c>
      <c r="R104" s="4">
        <v>0.10109321594238281</v>
      </c>
      <c r="S104" s="4" t="s">
        <v>47</v>
      </c>
      <c r="T104" s="23" t="s">
        <v>47</v>
      </c>
      <c r="W104" s="12">
        <v>32.6</v>
      </c>
      <c r="X104" s="5">
        <v>32.4</v>
      </c>
      <c r="Y104" s="11">
        <v>28.040760470815741</v>
      </c>
      <c r="Z104" s="21">
        <v>3.1162270039698799E-2</v>
      </c>
      <c r="AF104" s="21">
        <v>3.1162270039698799E-2</v>
      </c>
    </row>
    <row r="105" spans="11:32" x14ac:dyDescent="0.25">
      <c r="L105">
        <f t="shared" si="7"/>
        <v>7</v>
      </c>
      <c r="M105" s="9">
        <v>9.7500000000000003E-2</v>
      </c>
      <c r="N105" s="4">
        <v>9.9671201705932619E-2</v>
      </c>
      <c r="O105" s="4">
        <v>0.10121027946472168</v>
      </c>
      <c r="P105" s="4">
        <v>0.10110439300537109</v>
      </c>
      <c r="Q105" s="4">
        <v>9.7494640350341791E-2</v>
      </c>
      <c r="R105" s="4">
        <v>9.88754940032959E-2</v>
      </c>
      <c r="S105" s="4" t="s">
        <v>47</v>
      </c>
      <c r="T105" s="23" t="s">
        <v>47</v>
      </c>
      <c r="W105" s="10">
        <v>32</v>
      </c>
      <c r="X105" s="5">
        <v>33.1</v>
      </c>
      <c r="Y105" s="11">
        <v>29.241900716255884</v>
      </c>
      <c r="Z105" s="21">
        <v>-0.191355873321647</v>
      </c>
      <c r="AF105" s="21">
        <v>-0.191355873321647</v>
      </c>
    </row>
    <row r="106" spans="11:32" x14ac:dyDescent="0.25">
      <c r="L106">
        <f t="shared" si="7"/>
        <v>8</v>
      </c>
      <c r="M106" s="9">
        <v>9.7500000000000003E-2</v>
      </c>
      <c r="N106" s="4">
        <v>9.8627471923828119E-2</v>
      </c>
      <c r="O106" s="4">
        <v>9.9025020599365229E-2</v>
      </c>
      <c r="P106" s="4">
        <v>0.10158216476440429</v>
      </c>
      <c r="Q106" s="4">
        <v>9.7494640350341791E-2</v>
      </c>
      <c r="R106" s="4">
        <v>9.6408042907714847E-2</v>
      </c>
      <c r="S106" s="4" t="s">
        <v>47</v>
      </c>
      <c r="T106" s="23" t="s">
        <v>47</v>
      </c>
      <c r="W106" s="12">
        <v>34.200000000000003</v>
      </c>
      <c r="X106" s="5">
        <v>33.700000000000003</v>
      </c>
      <c r="Y106" s="11">
        <v>30.922498739338266</v>
      </c>
      <c r="Z106" s="21">
        <v>-0.20182920822692699</v>
      </c>
      <c r="AF106" s="21">
        <v>-0.20182920822692699</v>
      </c>
    </row>
    <row r="107" spans="11:32" x14ac:dyDescent="0.25">
      <c r="L107">
        <f t="shared" si="7"/>
        <v>9</v>
      </c>
      <c r="M107" s="9">
        <v>0.10249999999999999</v>
      </c>
      <c r="N107" s="4">
        <v>0.10127012252807617</v>
      </c>
      <c r="O107" s="4">
        <v>0.10156254768371582</v>
      </c>
      <c r="P107" s="4">
        <v>0.10205821990966797</v>
      </c>
      <c r="Q107" s="4">
        <v>0.10264945030212402</v>
      </c>
      <c r="R107" s="4">
        <v>9.8810281753540036E-2</v>
      </c>
      <c r="S107" s="4" t="s">
        <v>47</v>
      </c>
      <c r="T107" s="23" t="s">
        <v>47</v>
      </c>
      <c r="W107" s="12">
        <v>32.200000000000003</v>
      </c>
      <c r="X107" s="5">
        <v>31.7</v>
      </c>
      <c r="Y107" s="11">
        <v>30.204169039569734</v>
      </c>
      <c r="Z107" s="21">
        <v>2.29046090537737E-2</v>
      </c>
      <c r="AA107">
        <v>1</v>
      </c>
      <c r="AB107" s="8">
        <v>-2.5</v>
      </c>
      <c r="AF107" s="21">
        <v>2.29046090537737E-2</v>
      </c>
    </row>
    <row r="108" spans="11:32" x14ac:dyDescent="0.25">
      <c r="L108">
        <f t="shared" si="7"/>
        <v>10</v>
      </c>
      <c r="M108" s="9">
        <v>0.10249999999999999</v>
      </c>
      <c r="N108" s="4">
        <v>9.9388265609741205E-2</v>
      </c>
      <c r="O108" s="4">
        <v>9.6303577423095699E-2</v>
      </c>
      <c r="P108" s="4">
        <v>0.10253220558166504</v>
      </c>
      <c r="Q108" s="4">
        <v>0.1024946403503418</v>
      </c>
      <c r="R108" s="4">
        <v>9.6222639083862305E-2</v>
      </c>
      <c r="S108" s="4" t="s">
        <v>47</v>
      </c>
      <c r="T108" s="23" t="s">
        <v>47</v>
      </c>
      <c r="W108" s="10">
        <v>27.9</v>
      </c>
      <c r="X108" s="5">
        <v>27.2</v>
      </c>
      <c r="Y108" s="11">
        <v>24.944091718460655</v>
      </c>
      <c r="Z108" s="21">
        <v>-0.76289426085821099</v>
      </c>
      <c r="AA108">
        <v>1</v>
      </c>
      <c r="AB108" s="8">
        <v>-2.5</v>
      </c>
      <c r="AF108" s="21">
        <v>-0.76289426085821099</v>
      </c>
    </row>
    <row r="109" spans="11:32" x14ac:dyDescent="0.25">
      <c r="L109">
        <f t="shared" si="7"/>
        <v>11</v>
      </c>
      <c r="M109" s="9">
        <v>9.7500000000000003E-2</v>
      </c>
      <c r="N109" s="4">
        <v>9.4822988510131836E-2</v>
      </c>
      <c r="O109" s="4">
        <v>9.0152473449707032E-2</v>
      </c>
      <c r="P109" s="4">
        <v>0.10300375938415528</v>
      </c>
      <c r="Q109" s="4">
        <v>9.7339830398559576E-2</v>
      </c>
      <c r="R109" s="4">
        <v>8.8795890808105474E-2</v>
      </c>
      <c r="S109" s="4" t="s">
        <v>47</v>
      </c>
      <c r="T109" s="23" t="s">
        <v>47</v>
      </c>
      <c r="W109" s="10">
        <v>24.2</v>
      </c>
      <c r="X109" s="5">
        <v>24.5</v>
      </c>
      <c r="Y109" s="11">
        <v>22.9</v>
      </c>
      <c r="Z109" s="21">
        <v>-1.56620499837181</v>
      </c>
      <c r="AA109">
        <v>1</v>
      </c>
      <c r="AB109" s="8">
        <v>-2.5</v>
      </c>
      <c r="AF109" s="21">
        <v>-1.56620499837181</v>
      </c>
    </row>
    <row r="110" spans="11:32" x14ac:dyDescent="0.25">
      <c r="L110">
        <f t="shared" si="7"/>
        <v>12</v>
      </c>
      <c r="M110" s="9">
        <v>9.7500000000000003E-2</v>
      </c>
      <c r="N110" s="4">
        <v>9.5472946166992187E-2</v>
      </c>
      <c r="O110" s="4">
        <v>9.4245595932006834E-2</v>
      </c>
      <c r="P110" s="4">
        <v>0.1034725284576416</v>
      </c>
      <c r="Q110" s="4">
        <v>9.7494640350341791E-2</v>
      </c>
      <c r="R110" s="4">
        <v>8.6679039001464842E-2</v>
      </c>
      <c r="S110" s="4" t="s">
        <v>47</v>
      </c>
      <c r="T110" s="23" t="s">
        <v>47</v>
      </c>
      <c r="W110" s="10">
        <v>22.1</v>
      </c>
      <c r="X110" s="5">
        <v>23.2</v>
      </c>
      <c r="Y110" s="11">
        <v>23.1</v>
      </c>
      <c r="Z110" s="21">
        <v>-1.10067658045195</v>
      </c>
      <c r="AA110">
        <v>1</v>
      </c>
      <c r="AB110" s="8">
        <v>-2.5</v>
      </c>
      <c r="AF110" s="21">
        <v>-1.10067658045195</v>
      </c>
    </row>
    <row r="111" spans="11:32" x14ac:dyDescent="0.25">
      <c r="K111">
        <f t="shared" ref="K111" si="10">K99+1</f>
        <v>2009</v>
      </c>
      <c r="L111">
        <f t="shared" si="7"/>
        <v>1</v>
      </c>
      <c r="M111" s="9">
        <v>9.7500000000000003E-2</v>
      </c>
      <c r="N111" s="4">
        <v>9.6652164459228515E-2</v>
      </c>
      <c r="O111" s="4">
        <v>0.10016917228698731</v>
      </c>
      <c r="P111" s="4">
        <v>0.10393813133239746</v>
      </c>
      <c r="Q111" s="4">
        <v>9.7494640350341791E-2</v>
      </c>
      <c r="R111" s="4">
        <v>8.50067138671875E-2</v>
      </c>
      <c r="S111" s="4" t="s">
        <v>47</v>
      </c>
      <c r="T111" s="23" t="s">
        <v>47</v>
      </c>
      <c r="W111" s="12">
        <v>20.7</v>
      </c>
      <c r="X111" s="5">
        <v>21.021056029549825</v>
      </c>
      <c r="Y111" s="11">
        <v>22.9</v>
      </c>
      <c r="Z111" s="21">
        <v>-0.63570561225674904</v>
      </c>
      <c r="AA111">
        <v>1</v>
      </c>
      <c r="AB111" s="8">
        <v>-2.5</v>
      </c>
      <c r="AF111" s="21">
        <v>-0.63570561225674904</v>
      </c>
    </row>
    <row r="112" spans="11:32" x14ac:dyDescent="0.25">
      <c r="L112">
        <f t="shared" si="7"/>
        <v>2</v>
      </c>
      <c r="M112" s="9">
        <v>9.7500000000000003E-2</v>
      </c>
      <c r="N112" s="4">
        <v>9.7580327987670898E-2</v>
      </c>
      <c r="O112" s="4">
        <v>0.10453926086425781</v>
      </c>
      <c r="P112" s="4">
        <v>0.10440011024475097</v>
      </c>
      <c r="Q112" s="4">
        <v>9.7494640350341791E-2</v>
      </c>
      <c r="R112" s="4">
        <v>8.3887310028076173E-2</v>
      </c>
      <c r="S112" s="4" t="s">
        <v>47</v>
      </c>
      <c r="T112" s="23" t="s">
        <v>47</v>
      </c>
      <c r="W112" s="10">
        <v>18.2</v>
      </c>
      <c r="X112" s="5">
        <v>17.180539744336762</v>
      </c>
      <c r="Y112" s="11">
        <v>20.2</v>
      </c>
      <c r="Z112" s="21">
        <v>3.7901703151638301E-2</v>
      </c>
      <c r="AF112" s="21">
        <v>3.7901703151638301E-2</v>
      </c>
    </row>
    <row r="113" spans="11:32" x14ac:dyDescent="0.25">
      <c r="L113">
        <f t="shared" si="7"/>
        <v>3</v>
      </c>
      <c r="M113" s="9">
        <v>0.14000000000000001</v>
      </c>
      <c r="N113" s="4">
        <v>0.13130761146545411</v>
      </c>
      <c r="O113" s="4">
        <v>0.15316871643066407</v>
      </c>
      <c r="P113" s="4">
        <v>0.10485797882080078</v>
      </c>
      <c r="Q113" s="4">
        <v>0.14131055831909178</v>
      </c>
      <c r="R113" s="4">
        <v>0.12589318275451661</v>
      </c>
      <c r="S113" s="4" t="s">
        <v>47</v>
      </c>
      <c r="T113" s="23">
        <v>0.16</v>
      </c>
      <c r="W113" s="10">
        <v>16.3</v>
      </c>
      <c r="X113" s="5">
        <v>17.240560055740765</v>
      </c>
      <c r="Y113" s="11">
        <v>19.899999999999999</v>
      </c>
      <c r="Z113" s="21">
        <v>-0.18806618425756999</v>
      </c>
      <c r="AF113" s="21">
        <v>-0.18806618425756999</v>
      </c>
    </row>
    <row r="114" spans="11:32" x14ac:dyDescent="0.25">
      <c r="L114">
        <f t="shared" si="7"/>
        <v>4</v>
      </c>
      <c r="M114" s="9">
        <v>0.14000000000000001</v>
      </c>
      <c r="N114" s="4">
        <v>0.1289656639099121</v>
      </c>
      <c r="O114" s="4">
        <v>0.14450321197509766</v>
      </c>
      <c r="P114" s="4">
        <v>0.10531118392944336</v>
      </c>
      <c r="Q114" s="4">
        <v>0.13999464035034179</v>
      </c>
      <c r="R114" s="4">
        <v>0.12605362892150879</v>
      </c>
      <c r="S114" s="4" t="s">
        <v>47</v>
      </c>
      <c r="T114" s="23">
        <v>0.16</v>
      </c>
      <c r="W114" s="10">
        <v>12.5</v>
      </c>
      <c r="X114" s="5">
        <v>12.568582606819755</v>
      </c>
      <c r="Y114" s="11">
        <v>17.2</v>
      </c>
      <c r="Z114" s="21">
        <v>-0.27605059259482501</v>
      </c>
      <c r="AF114" s="21">
        <v>-0.27605059259482501</v>
      </c>
    </row>
    <row r="115" spans="11:32" x14ac:dyDescent="0.25">
      <c r="L115">
        <f t="shared" si="7"/>
        <v>5</v>
      </c>
      <c r="M115" s="9">
        <v>0.1275</v>
      </c>
      <c r="N115" s="4">
        <v>0.12032625198364258</v>
      </c>
      <c r="O115" s="4">
        <v>0.13408632278442384</v>
      </c>
      <c r="P115" s="4">
        <v>0.10575946807861328</v>
      </c>
      <c r="Q115" s="4">
        <v>0.12710761070251464</v>
      </c>
      <c r="R115" s="4">
        <v>0.11435159683227539</v>
      </c>
      <c r="S115" s="4" t="s">
        <v>47</v>
      </c>
      <c r="T115" s="23">
        <v>0.16</v>
      </c>
      <c r="W115" s="10">
        <v>8</v>
      </c>
      <c r="X115" s="5">
        <v>7.4436460987059831</v>
      </c>
      <c r="Y115" s="11">
        <v>13.2</v>
      </c>
      <c r="Z115" s="21">
        <v>-0.17937196558117999</v>
      </c>
      <c r="AF115" s="21">
        <v>-0.17937196558117999</v>
      </c>
    </row>
    <row r="116" spans="11:32" x14ac:dyDescent="0.25">
      <c r="L116">
        <f t="shared" si="7"/>
        <v>6</v>
      </c>
      <c r="M116" s="9">
        <v>0.115</v>
      </c>
      <c r="N116" s="4">
        <v>0.11174003601074219</v>
      </c>
      <c r="O116" s="4">
        <v>0.12292527198791504</v>
      </c>
      <c r="P116" s="4">
        <v>0.10620282173156738</v>
      </c>
      <c r="Q116" s="4">
        <v>0.11460761070251464</v>
      </c>
      <c r="R116" s="4">
        <v>0.10322443962097168</v>
      </c>
      <c r="S116" s="4" t="s">
        <v>47</v>
      </c>
      <c r="T116" s="23">
        <v>0.16</v>
      </c>
      <c r="W116" s="10">
        <v>6.2642917230043906</v>
      </c>
      <c r="X116" s="5">
        <v>4.7366102950092852</v>
      </c>
      <c r="Y116" s="11">
        <v>12.3</v>
      </c>
      <c r="Z116" s="21">
        <v>-5.7662386530813198E-3</v>
      </c>
      <c r="AF116" s="21">
        <v>-5.7662386530813198E-3</v>
      </c>
    </row>
    <row r="117" spans="11:32" x14ac:dyDescent="0.25">
      <c r="L117">
        <f t="shared" si="7"/>
        <v>7</v>
      </c>
      <c r="M117" s="9">
        <v>0.115</v>
      </c>
      <c r="N117" s="4">
        <v>0.11248069763183594</v>
      </c>
      <c r="O117" s="4">
        <v>0.1232181167602539</v>
      </c>
      <c r="P117" s="4">
        <v>0.10664138793945313</v>
      </c>
      <c r="Q117" s="4">
        <v>0.11499464035034179</v>
      </c>
      <c r="R117" s="4">
        <v>0.10506864547729493</v>
      </c>
      <c r="S117" s="4" t="s">
        <v>47</v>
      </c>
      <c r="T117" s="23">
        <v>0.16</v>
      </c>
      <c r="W117" s="10">
        <v>4.922956517421639</v>
      </c>
      <c r="X117" s="5">
        <v>2.9044321474104038</v>
      </c>
      <c r="Y117" s="11">
        <v>13.3</v>
      </c>
      <c r="Z117" s="21">
        <v>1.43165717356801E-2</v>
      </c>
      <c r="AF117" s="21">
        <v>1.43165717356801E-2</v>
      </c>
    </row>
    <row r="118" spans="11:32" x14ac:dyDescent="0.25">
      <c r="L118">
        <f t="shared" si="7"/>
        <v>8</v>
      </c>
      <c r="M118" s="9">
        <v>0.115</v>
      </c>
      <c r="N118" s="4">
        <v>0.11337226867675781</v>
      </c>
      <c r="O118" s="4">
        <v>0.12417068481445312</v>
      </c>
      <c r="P118" s="4">
        <v>0.10707542419433594</v>
      </c>
      <c r="Q118" s="4">
        <v>0.11499464035034179</v>
      </c>
      <c r="R118" s="4">
        <v>0.10724830627441406</v>
      </c>
      <c r="S118" s="4" t="s">
        <v>47</v>
      </c>
      <c r="T118" s="23" t="s">
        <v>47</v>
      </c>
      <c r="W118" s="10">
        <v>0.59349819322564201</v>
      </c>
      <c r="X118" s="5">
        <v>-0.90340071171058867</v>
      </c>
      <c r="Y118" s="11">
        <v>4.9000000000000004</v>
      </c>
      <c r="Z118" s="21">
        <v>4.4379533743960399E-2</v>
      </c>
      <c r="AF118" s="21">
        <v>4.4379533743960399E-2</v>
      </c>
    </row>
    <row r="119" spans="11:32" x14ac:dyDescent="0.25">
      <c r="L119">
        <f t="shared" si="7"/>
        <v>9</v>
      </c>
      <c r="M119" s="9">
        <v>0.1</v>
      </c>
      <c r="N119" s="4">
        <v>0.1025844669342041</v>
      </c>
      <c r="O119" s="4">
        <v>0.10869609832763671</v>
      </c>
      <c r="P119" s="4">
        <v>0.10750519752502441</v>
      </c>
      <c r="Q119" s="4">
        <v>9.9530200958251949E-2</v>
      </c>
      <c r="R119" s="4">
        <v>9.4606361389160162E-2</v>
      </c>
      <c r="S119" s="4" t="s">
        <v>47</v>
      </c>
      <c r="T119" s="23" t="s">
        <v>47</v>
      </c>
      <c r="W119" s="10">
        <v>1.5879303424497948E-2</v>
      </c>
      <c r="X119" s="5">
        <v>-1.9179752634941849</v>
      </c>
      <c r="Y119" s="11">
        <v>3.3429775117637774</v>
      </c>
      <c r="Z119" s="21">
        <v>2.6591103933010299E-2</v>
      </c>
      <c r="AF119" s="21">
        <v>2.6591103933010299E-2</v>
      </c>
    </row>
    <row r="120" spans="11:32" x14ac:dyDescent="0.25">
      <c r="L120">
        <f t="shared" si="7"/>
        <v>10</v>
      </c>
      <c r="M120" s="9">
        <v>0.1</v>
      </c>
      <c r="N120" s="4">
        <v>0.10363090515136719</v>
      </c>
      <c r="O120" s="4">
        <v>0.10962010383605957</v>
      </c>
      <c r="P120" s="4">
        <v>0.10793107986450196</v>
      </c>
      <c r="Q120" s="4">
        <v>9.9994640350341793E-2</v>
      </c>
      <c r="R120" s="4">
        <v>9.6977796554565426E-2</v>
      </c>
      <c r="S120" s="4" t="s">
        <v>47</v>
      </c>
      <c r="T120" s="23" t="s">
        <v>47</v>
      </c>
      <c r="W120" s="10">
        <v>0.84843489270787131</v>
      </c>
      <c r="X120" s="5">
        <v>-1.137176062196815</v>
      </c>
      <c r="Y120" s="11">
        <v>2.8681040585699975</v>
      </c>
      <c r="Z120" s="21">
        <v>0.284844222409599</v>
      </c>
      <c r="AF120" s="21">
        <v>0.284844222409599</v>
      </c>
    </row>
    <row r="121" spans="11:32" x14ac:dyDescent="0.25">
      <c r="L121">
        <f t="shared" si="7"/>
        <v>11</v>
      </c>
      <c r="M121" s="9">
        <v>0.1</v>
      </c>
      <c r="N121" s="4">
        <v>0.10428649902343751</v>
      </c>
      <c r="O121" s="4">
        <v>0.10959463119506836</v>
      </c>
      <c r="P121" s="4">
        <v>0.10835336685180665</v>
      </c>
      <c r="Q121" s="4">
        <v>9.9994640350341793E-2</v>
      </c>
      <c r="R121" s="4">
        <v>9.9203348159790039E-2</v>
      </c>
      <c r="S121" s="4" t="s">
        <v>47</v>
      </c>
      <c r="T121" s="23" t="s">
        <v>47</v>
      </c>
      <c r="W121" s="10">
        <v>3.5314129245284249</v>
      </c>
      <c r="X121" s="5">
        <v>1.1249855387946042</v>
      </c>
      <c r="Y121" s="11">
        <v>3.4039839804170384</v>
      </c>
      <c r="Z121" s="21">
        <v>0.13747486246892901</v>
      </c>
      <c r="AF121" s="21">
        <v>0.13747486246892901</v>
      </c>
    </row>
    <row r="122" spans="11:32" x14ac:dyDescent="0.25">
      <c r="L122">
        <f t="shared" si="7"/>
        <v>12</v>
      </c>
      <c r="M122" s="9">
        <v>0.1</v>
      </c>
      <c r="N122" s="4">
        <v>0.10498627662658691</v>
      </c>
      <c r="O122" s="4">
        <v>0.11003552436828613</v>
      </c>
      <c r="P122" s="4">
        <v>0.10877229690551758</v>
      </c>
      <c r="Q122" s="4">
        <v>9.9994640350341793E-2</v>
      </c>
      <c r="R122" s="4">
        <v>0.10114264488220215</v>
      </c>
      <c r="S122" s="4" t="s">
        <v>47</v>
      </c>
      <c r="T122" s="23" t="s">
        <v>47</v>
      </c>
      <c r="W122" s="10">
        <v>4.1773770491098592</v>
      </c>
      <c r="X122" s="5">
        <v>1.8780773988057007</v>
      </c>
      <c r="Y122" s="11">
        <v>4.0869029151538427</v>
      </c>
      <c r="Z122" s="21">
        <v>0.26838525339310199</v>
      </c>
      <c r="AF122" s="21">
        <v>0.26838525339310199</v>
      </c>
    </row>
    <row r="123" spans="11:32" x14ac:dyDescent="0.25">
      <c r="K123">
        <f t="shared" ref="K123" si="11">K111+1</f>
        <v>2010</v>
      </c>
      <c r="L123">
        <f t="shared" si="7"/>
        <v>1</v>
      </c>
      <c r="M123" s="9">
        <v>0.1</v>
      </c>
      <c r="N123" s="4">
        <v>0.10577625274658203</v>
      </c>
      <c r="O123" s="4">
        <v>0.11123700141906738</v>
      </c>
      <c r="P123" s="4">
        <v>0.10918802261352539</v>
      </c>
      <c r="Q123" s="4">
        <v>9.9994640350341793E-2</v>
      </c>
      <c r="R123" s="4">
        <v>0.1026853370666504</v>
      </c>
      <c r="S123" s="4">
        <v>0.16</v>
      </c>
      <c r="T123" s="23" t="s">
        <v>47</v>
      </c>
      <c r="W123" s="10">
        <v>5.7253078927881234</v>
      </c>
      <c r="X123" s="5">
        <v>4.4606115282816745</v>
      </c>
      <c r="Y123" s="11">
        <v>5.3407577194662963</v>
      </c>
      <c r="Z123" s="21">
        <v>0.15900786816653401</v>
      </c>
      <c r="AF123" s="21">
        <v>0.15900786816653401</v>
      </c>
    </row>
    <row r="124" spans="11:32" x14ac:dyDescent="0.25">
      <c r="L124">
        <f t="shared" si="7"/>
        <v>2</v>
      </c>
      <c r="M124" s="9">
        <v>0.1</v>
      </c>
      <c r="N124" s="4">
        <v>0.10557165145874023</v>
      </c>
      <c r="O124" s="4">
        <v>0.10893193244934082</v>
      </c>
      <c r="P124" s="4">
        <v>0.10960067749023437</v>
      </c>
      <c r="Q124" s="4">
        <v>9.9994640350341793E-2</v>
      </c>
      <c r="R124" s="4">
        <v>0.10375935554504395</v>
      </c>
      <c r="S124" s="4">
        <v>0.16</v>
      </c>
      <c r="T124" s="23" t="s">
        <v>47</v>
      </c>
      <c r="W124" s="10">
        <v>8.3082564978058286</v>
      </c>
      <c r="X124" s="5">
        <v>8.6819868097488637</v>
      </c>
      <c r="Y124" s="11">
        <v>7.7708160999589495</v>
      </c>
      <c r="Z124" s="21">
        <v>-0.103849080837879</v>
      </c>
      <c r="AF124" s="21">
        <v>-0.103849080837879</v>
      </c>
    </row>
    <row r="125" spans="11:32" x14ac:dyDescent="0.25">
      <c r="L125">
        <f t="shared" si="7"/>
        <v>3</v>
      </c>
      <c r="M125" s="9">
        <v>0.1</v>
      </c>
      <c r="N125" s="4">
        <v>0.10529898643493653</v>
      </c>
      <c r="O125" s="4">
        <v>0.10685563087463379</v>
      </c>
      <c r="P125" s="4">
        <v>0.1100102710723877</v>
      </c>
      <c r="Q125" s="4">
        <v>9.9994640350341793E-2</v>
      </c>
      <c r="R125" s="4">
        <v>0.10433539390563965</v>
      </c>
      <c r="S125" s="4">
        <v>0.16</v>
      </c>
      <c r="T125" s="23" t="s">
        <v>47</v>
      </c>
      <c r="W125" s="10">
        <v>8.4910342017081177</v>
      </c>
      <c r="X125" s="5">
        <v>7.7695868257461456</v>
      </c>
      <c r="Y125" s="11">
        <v>5.9776849358207755</v>
      </c>
      <c r="Z125" s="21">
        <v>-6.2974890987042301E-2</v>
      </c>
      <c r="AF125" s="21">
        <v>-6.2974890987042301E-2</v>
      </c>
    </row>
    <row r="126" spans="11:32" x14ac:dyDescent="0.25">
      <c r="L126">
        <f t="shared" si="7"/>
        <v>4</v>
      </c>
      <c r="M126" s="9">
        <v>0.1</v>
      </c>
      <c r="N126" s="4">
        <v>0.10479246139526367</v>
      </c>
      <c r="O126" s="4">
        <v>0.10433104515075683</v>
      </c>
      <c r="P126" s="4">
        <v>0.11041676521301269</v>
      </c>
      <c r="Q126" s="4">
        <v>9.9994640350341793E-2</v>
      </c>
      <c r="R126" s="4">
        <v>0.10442740440368653</v>
      </c>
      <c r="S126" s="4" t="s">
        <v>47</v>
      </c>
      <c r="T126" s="23" t="s">
        <v>47</v>
      </c>
      <c r="W126" s="10">
        <v>8.2869894666160064</v>
      </c>
      <c r="X126" s="5">
        <v>8.3747779781005534</v>
      </c>
      <c r="Y126" s="11">
        <v>5.186339189980373</v>
      </c>
      <c r="Z126" s="21">
        <v>0.10115140858400599</v>
      </c>
      <c r="AF126" s="21">
        <v>0.10115140858400599</v>
      </c>
    </row>
    <row r="127" spans="11:32" x14ac:dyDescent="0.25">
      <c r="L127">
        <f t="shared" si="7"/>
        <v>5</v>
      </c>
      <c r="M127" s="9">
        <v>0.11</v>
      </c>
      <c r="N127" s="4">
        <v>0.11206233978271485</v>
      </c>
      <c r="O127" s="4">
        <v>0.11303605079650879</v>
      </c>
      <c r="P127" s="4">
        <v>0.11082005500793457</v>
      </c>
      <c r="Q127" s="4">
        <v>0.11030426979064942</v>
      </c>
      <c r="R127" s="4">
        <v>0.11408897399902344</v>
      </c>
      <c r="S127" s="4" t="s">
        <v>47</v>
      </c>
      <c r="T127" s="23" t="s">
        <v>47</v>
      </c>
      <c r="W127" s="10">
        <v>11.624239966388132</v>
      </c>
      <c r="X127" s="5">
        <v>11.715043065830471</v>
      </c>
      <c r="Y127" s="11">
        <v>5.6391973076659667</v>
      </c>
      <c r="Z127" s="21">
        <v>5.7460951426450302E-2</v>
      </c>
      <c r="AF127" s="21">
        <v>5.7460951426450302E-2</v>
      </c>
    </row>
    <row r="128" spans="11:32" x14ac:dyDescent="0.25">
      <c r="L128">
        <f t="shared" si="7"/>
        <v>6</v>
      </c>
      <c r="M128" s="9">
        <v>0.11</v>
      </c>
      <c r="N128" s="4">
        <v>0.11166011810302734</v>
      </c>
      <c r="O128" s="4">
        <v>0.11201983451843261</v>
      </c>
      <c r="P128" s="4">
        <v>0.11121993064880371</v>
      </c>
      <c r="Q128" s="4">
        <v>0.1099946403503418</v>
      </c>
      <c r="R128" s="4">
        <v>0.11340605735778808</v>
      </c>
      <c r="S128" s="4" t="s">
        <v>47</v>
      </c>
      <c r="T128" s="23" t="s">
        <v>47</v>
      </c>
      <c r="W128" s="10">
        <v>11.44270320686941</v>
      </c>
      <c r="X128" s="5">
        <v>12.596783872929194</v>
      </c>
      <c r="Y128" s="11">
        <v>6.0929897891577269</v>
      </c>
      <c r="Z128" s="21">
        <v>5.2517114162335898E-2</v>
      </c>
      <c r="AF128" s="21">
        <v>5.2517114162335898E-2</v>
      </c>
    </row>
    <row r="129" spans="11:32" x14ac:dyDescent="0.25">
      <c r="L129">
        <f t="shared" si="7"/>
        <v>7</v>
      </c>
      <c r="M129" s="9">
        <v>0.11</v>
      </c>
      <c r="N129" s="4">
        <v>0.11201948165893555</v>
      </c>
      <c r="O129" s="4">
        <v>0.11398022651672363</v>
      </c>
      <c r="P129" s="4">
        <v>0.11161618232727051</v>
      </c>
      <c r="Q129" s="4">
        <v>0.1099946403503418</v>
      </c>
      <c r="R129" s="4">
        <v>0.11248687744140624</v>
      </c>
      <c r="S129" s="4" t="s">
        <v>47</v>
      </c>
      <c r="T129" s="23" t="s">
        <v>47</v>
      </c>
      <c r="W129" s="10">
        <v>9.7917635741081597</v>
      </c>
      <c r="X129" s="5">
        <v>8.8086363295655872</v>
      </c>
      <c r="Y129" s="11">
        <v>5.6982638558988015</v>
      </c>
      <c r="Z129" s="21">
        <v>3.4313387343886601E-2</v>
      </c>
      <c r="AF129" s="21">
        <v>3.4313387343886601E-2</v>
      </c>
    </row>
    <row r="130" spans="11:32" x14ac:dyDescent="0.25">
      <c r="L130">
        <f t="shared" si="7"/>
        <v>8</v>
      </c>
      <c r="M130" s="9">
        <v>0.11</v>
      </c>
      <c r="N130" s="4">
        <v>0.11142080307006835</v>
      </c>
      <c r="O130" s="4">
        <v>0.11222994804382325</v>
      </c>
      <c r="P130" s="4">
        <v>0.11200860977172851</v>
      </c>
      <c r="Q130" s="4">
        <v>0.1099946403503418</v>
      </c>
      <c r="R130" s="4">
        <v>0.11145003318786621</v>
      </c>
      <c r="S130" s="4" t="s">
        <v>47</v>
      </c>
      <c r="T130" s="23" t="s">
        <v>47</v>
      </c>
      <c r="W130" s="10">
        <v>11.214474885088777</v>
      </c>
      <c r="X130" s="5">
        <v>11.105074666007781</v>
      </c>
      <c r="Y130" s="11">
        <v>7.8986566422813524</v>
      </c>
      <c r="Z130" s="21">
        <v>0.120432408212863</v>
      </c>
      <c r="AF130" s="21">
        <v>0.120432408212863</v>
      </c>
    </row>
    <row r="131" spans="11:32" x14ac:dyDescent="0.25">
      <c r="L131">
        <f t="shared" si="7"/>
        <v>9</v>
      </c>
      <c r="M131" s="9">
        <v>0.11</v>
      </c>
      <c r="N131" s="4">
        <v>0.11147727966308593</v>
      </c>
      <c r="O131" s="4">
        <v>0.1131054973602295</v>
      </c>
      <c r="P131" s="4">
        <v>0.1123969841003418</v>
      </c>
      <c r="Q131" s="4">
        <v>0.1099946403503418</v>
      </c>
      <c r="R131" s="4">
        <v>0.11041197776794434</v>
      </c>
      <c r="S131" s="4" t="s">
        <v>47</v>
      </c>
      <c r="T131" s="23" t="s">
        <v>47</v>
      </c>
      <c r="W131" s="10">
        <v>10.562632070505032</v>
      </c>
      <c r="X131" s="5">
        <v>10.93194629500195</v>
      </c>
      <c r="Y131" s="11">
        <v>7.2098356093708844</v>
      </c>
      <c r="Z131" s="21">
        <v>0.28954880994083698</v>
      </c>
      <c r="AF131" s="21">
        <v>0.28954880994083698</v>
      </c>
    </row>
    <row r="132" spans="11:32" x14ac:dyDescent="0.25">
      <c r="L132">
        <f t="shared" si="7"/>
        <v>10</v>
      </c>
      <c r="M132" s="9">
        <v>0.11</v>
      </c>
      <c r="N132" s="4">
        <v>0.11136331558227539</v>
      </c>
      <c r="O132" s="4">
        <v>0.11320245742797852</v>
      </c>
      <c r="P132" s="4">
        <v>0.11278104782104492</v>
      </c>
      <c r="Q132" s="4">
        <v>0.1099946403503418</v>
      </c>
      <c r="R132" s="4">
        <v>0.10947513580322266</v>
      </c>
      <c r="S132" s="4" t="s">
        <v>47</v>
      </c>
      <c r="T132" s="23" t="s">
        <v>47</v>
      </c>
      <c r="W132" s="10">
        <v>11.263961890976333</v>
      </c>
      <c r="X132" s="5">
        <v>11.273967807613971</v>
      </c>
      <c r="Y132" s="11">
        <v>8.4666747643006914</v>
      </c>
      <c r="Z132" s="21">
        <v>0.39053235784900497</v>
      </c>
      <c r="AF132" s="21">
        <v>0.39053235784900497</v>
      </c>
    </row>
    <row r="133" spans="11:32" x14ac:dyDescent="0.25">
      <c r="L133">
        <f t="shared" si="7"/>
        <v>11</v>
      </c>
      <c r="M133" s="9">
        <v>0.11</v>
      </c>
      <c r="N133" s="4">
        <v>0.11037979125976563</v>
      </c>
      <c r="O133" s="4">
        <v>0.10964596748352051</v>
      </c>
      <c r="P133" s="4">
        <v>0.11316055297851563</v>
      </c>
      <c r="Q133" s="4">
        <v>0.1099946403503418</v>
      </c>
      <c r="R133" s="4">
        <v>0.10871798515319825</v>
      </c>
      <c r="S133" s="4" t="s">
        <v>47</v>
      </c>
      <c r="T133" s="23" t="s">
        <v>47</v>
      </c>
      <c r="W133" s="10">
        <v>11.066470863234201</v>
      </c>
      <c r="X133" s="5">
        <v>11.813190134266378</v>
      </c>
      <c r="Y133" s="11">
        <v>9.2378782138113991</v>
      </c>
      <c r="Z133" s="21">
        <v>0.45986024763420102</v>
      </c>
      <c r="AF133" s="21">
        <v>0.45986024763420102</v>
      </c>
    </row>
    <row r="134" spans="11:32" x14ac:dyDescent="0.25">
      <c r="L134">
        <f t="shared" si="7"/>
        <v>12</v>
      </c>
      <c r="M134" s="9">
        <v>0.11</v>
      </c>
      <c r="N134" s="4">
        <v>0.10935642242431641</v>
      </c>
      <c r="O134" s="4">
        <v>0.10570804595947265</v>
      </c>
      <c r="P134" s="4">
        <v>0.11353521347045899</v>
      </c>
      <c r="Q134" s="4">
        <v>0.1099946403503418</v>
      </c>
      <c r="R134" s="4">
        <v>0.10818777084350586</v>
      </c>
      <c r="S134" s="4" t="s">
        <v>47</v>
      </c>
      <c r="T134" s="23" t="s">
        <v>47</v>
      </c>
      <c r="W134" s="10">
        <v>12.953107898428058</v>
      </c>
      <c r="X134" s="5">
        <v>14.29215875635056</v>
      </c>
      <c r="Y134" s="11">
        <v>9.35011809754306</v>
      </c>
      <c r="Z134" s="21">
        <v>0.240842832240072</v>
      </c>
      <c r="AF134" s="21">
        <v>0.240842832240072</v>
      </c>
    </row>
    <row r="135" spans="11:32" x14ac:dyDescent="0.25">
      <c r="K135">
        <f t="shared" ref="K135" si="12">K123+1</f>
        <v>2011</v>
      </c>
      <c r="L135">
        <f t="shared" si="7"/>
        <v>1</v>
      </c>
      <c r="M135" s="9">
        <v>0.11</v>
      </c>
      <c r="N135" s="4">
        <v>0.10971376419067383</v>
      </c>
      <c r="O135" s="4">
        <v>0.1070588207244873</v>
      </c>
      <c r="P135" s="4">
        <v>0.11390473365783692</v>
      </c>
      <c r="Q135" s="4">
        <v>0.1099946403503418</v>
      </c>
      <c r="R135" s="4">
        <v>0.10789686203002929</v>
      </c>
      <c r="S135" s="4" t="s">
        <v>47</v>
      </c>
      <c r="T135" s="23" t="s">
        <v>47</v>
      </c>
      <c r="W135" s="10"/>
      <c r="X135" s="5">
        <v>13.03896384027496</v>
      </c>
      <c r="Y135" s="11">
        <v>8.8956702922912001</v>
      </c>
      <c r="Z135" s="21">
        <v>0.26501205938713202</v>
      </c>
      <c r="AF135" s="21">
        <v>0.26501205938713202</v>
      </c>
    </row>
    <row r="136" spans="11:32" x14ac:dyDescent="0.25">
      <c r="L136">
        <f t="shared" si="7"/>
        <v>2</v>
      </c>
      <c r="M136" s="9">
        <v>0.11</v>
      </c>
      <c r="N136" s="4">
        <v>0.1098746395111084</v>
      </c>
      <c r="O136" s="4">
        <v>0.10741240501403809</v>
      </c>
      <c r="P136" s="4">
        <v>0.11426876068115234</v>
      </c>
      <c r="Q136" s="4">
        <v>0.1099946403503418</v>
      </c>
      <c r="R136" s="4">
        <v>0.10782275199890137</v>
      </c>
      <c r="S136" s="4" t="s">
        <v>47</v>
      </c>
      <c r="T136" s="23" t="s">
        <v>47</v>
      </c>
      <c r="W136" s="10"/>
      <c r="X136" s="5">
        <v>9.152859843328244</v>
      </c>
      <c r="Y136" s="11">
        <v>7.9076996873677246</v>
      </c>
      <c r="Z136" s="21">
        <v>0.25554386429255499</v>
      </c>
      <c r="AF136" s="21">
        <v>0.25554386429255499</v>
      </c>
    </row>
    <row r="137" spans="11:32" x14ac:dyDescent="0.25">
      <c r="L137">
        <f t="shared" si="7"/>
        <v>3</v>
      </c>
      <c r="M137" s="9">
        <v>0.11</v>
      </c>
      <c r="N137" s="4">
        <v>0.11005082130432128</v>
      </c>
      <c r="O137" s="4">
        <v>0.10766984939575196</v>
      </c>
      <c r="P137" s="4">
        <v>0.1146269416809082</v>
      </c>
      <c r="Q137" s="4">
        <v>0.1099946403503418</v>
      </c>
      <c r="R137" s="4">
        <v>0.1079118537902832</v>
      </c>
      <c r="S137" s="4" t="s">
        <v>47</v>
      </c>
      <c r="T137" s="23" t="s">
        <v>47</v>
      </c>
      <c r="W137" s="10"/>
      <c r="X137" s="5">
        <v>6.1294684046262944</v>
      </c>
      <c r="Y137" s="11">
        <v>8.2511433895514728</v>
      </c>
      <c r="Z137" s="21">
        <v>0.110795676703835</v>
      </c>
      <c r="AF137" s="21">
        <v>0.110795676703835</v>
      </c>
    </row>
    <row r="138" spans="11:32" x14ac:dyDescent="0.25">
      <c r="L138">
        <f t="shared" si="7"/>
        <v>4</v>
      </c>
      <c r="M138" s="9">
        <v>0.115</v>
      </c>
      <c r="N138" s="4">
        <v>0.11427625656127929</v>
      </c>
      <c r="O138" s="4">
        <v>0.11389016151428223</v>
      </c>
      <c r="P138" s="4">
        <v>0.1149788761138916</v>
      </c>
      <c r="Q138" s="4">
        <v>0.11514945030212402</v>
      </c>
      <c r="R138" s="4">
        <v>0.11308651924133301</v>
      </c>
      <c r="S138" s="4" t="s">
        <v>47</v>
      </c>
      <c r="T138" s="23" t="s">
        <v>47</v>
      </c>
      <c r="W138" s="10"/>
      <c r="X138" s="5">
        <v>3.3249715457677809</v>
      </c>
      <c r="Y138" s="11">
        <v>8.9036452547078682</v>
      </c>
      <c r="Z138" s="21">
        <v>0.13913639374008099</v>
      </c>
      <c r="AF138" s="21">
        <v>0.13913639374008099</v>
      </c>
    </row>
    <row r="139" spans="11:32" x14ac:dyDescent="0.25">
      <c r="L139">
        <f t="shared" si="7"/>
        <v>5</v>
      </c>
      <c r="M139" s="9">
        <v>0.115</v>
      </c>
      <c r="N139" s="4">
        <v>0.11448724746704102</v>
      </c>
      <c r="O139" s="4">
        <v>0.11437579154968262</v>
      </c>
      <c r="P139" s="4">
        <v>0.11532412528991699</v>
      </c>
      <c r="Q139" s="4">
        <v>0.11499464035034179</v>
      </c>
      <c r="R139" s="4">
        <v>0.11325445175170898</v>
      </c>
      <c r="S139" s="4" t="s">
        <v>47</v>
      </c>
      <c r="T139" s="23" t="s">
        <v>47</v>
      </c>
      <c r="W139" s="10"/>
      <c r="X139" s="5">
        <v>1.1902433130352676</v>
      </c>
      <c r="Y139" s="11">
        <v>9.7950841227719394</v>
      </c>
      <c r="Z139" s="21">
        <v>0.18245391353221299</v>
      </c>
      <c r="AF139" s="21">
        <v>0.18245391353221299</v>
      </c>
    </row>
    <row r="140" spans="11:32" x14ac:dyDescent="0.25">
      <c r="L140">
        <f t="shared" si="7"/>
        <v>6</v>
      </c>
      <c r="M140" s="9">
        <v>0.115</v>
      </c>
      <c r="N140" s="4">
        <v>0.11469758987426758</v>
      </c>
      <c r="O140" s="4">
        <v>0.11481374740600586</v>
      </c>
      <c r="P140" s="4">
        <v>0.11566226959228515</v>
      </c>
      <c r="Q140" s="4">
        <v>0.11499464035034179</v>
      </c>
      <c r="R140" s="4">
        <v>0.11331968307495117</v>
      </c>
      <c r="S140" s="4" t="s">
        <v>47</v>
      </c>
      <c r="T140" s="23" t="s">
        <v>47</v>
      </c>
      <c r="W140" s="10"/>
      <c r="X140" s="5">
        <v>2.6515131118557633</v>
      </c>
      <c r="Y140" s="11">
        <v>10.672885789003246</v>
      </c>
      <c r="Z140" s="21">
        <v>0.20236688929046201</v>
      </c>
      <c r="AF140" s="21">
        <v>0.20236688929046201</v>
      </c>
    </row>
    <row r="141" spans="11:32" x14ac:dyDescent="0.25">
      <c r="L141">
        <f t="shared" si="7"/>
        <v>7</v>
      </c>
      <c r="M141" s="9">
        <v>0.115</v>
      </c>
      <c r="N141" s="4">
        <v>0.11436574935913085</v>
      </c>
      <c r="O141" s="4">
        <v>0.11328166961669922</v>
      </c>
      <c r="P141" s="4">
        <v>0.11599287033081054</v>
      </c>
      <c r="Q141" s="4">
        <v>0.11499464035034179</v>
      </c>
      <c r="R141" s="4">
        <v>0.11319380760192871</v>
      </c>
      <c r="S141" s="4" t="s">
        <v>47</v>
      </c>
      <c r="T141" s="23" t="s">
        <v>47</v>
      </c>
      <c r="W141" s="10"/>
      <c r="X141" s="5">
        <v>7.7676911523798111</v>
      </c>
      <c r="Y141" s="11">
        <v>10.719444375403953</v>
      </c>
      <c r="Z141" s="21">
        <v>0.23365200710817999</v>
      </c>
      <c r="AF141" s="21">
        <v>0.23365200710817999</v>
      </c>
    </row>
    <row r="142" spans="11:32" x14ac:dyDescent="0.25">
      <c r="L142">
        <f t="shared" si="7"/>
        <v>8</v>
      </c>
      <c r="M142" s="9">
        <v>0.11749999999999999</v>
      </c>
      <c r="N142" s="4">
        <v>0.11604491233825684</v>
      </c>
      <c r="O142" s="4">
        <v>0.11498575210571289</v>
      </c>
      <c r="P142" s="4">
        <v>0.11631547927856445</v>
      </c>
      <c r="Q142" s="4">
        <v>0.11757205009460449</v>
      </c>
      <c r="R142" s="4">
        <v>0.11530635833740234</v>
      </c>
      <c r="S142" s="4" t="s">
        <v>47</v>
      </c>
      <c r="T142" s="23" t="s">
        <v>47</v>
      </c>
      <c r="W142" s="10"/>
      <c r="X142" s="5">
        <v>7.0427226799150446</v>
      </c>
      <c r="Y142" s="11">
        <v>8.1404213259104949</v>
      </c>
      <c r="Z142" s="21">
        <v>0.209565412409742</v>
      </c>
      <c r="AF142" s="21">
        <v>0.209565412409742</v>
      </c>
    </row>
    <row r="143" spans="11:32" x14ac:dyDescent="0.25">
      <c r="L143">
        <f t="shared" si="7"/>
        <v>9</v>
      </c>
      <c r="M143" s="9">
        <v>0.11749999999999999</v>
      </c>
      <c r="N143" s="4">
        <v>0.11572637557983398</v>
      </c>
      <c r="O143" s="4">
        <v>0.11416784286499024</v>
      </c>
      <c r="P143" s="4">
        <v>0.11662965774536133</v>
      </c>
      <c r="Q143" s="4">
        <v>0.11749464035034179</v>
      </c>
      <c r="R143" s="4">
        <v>0.11461335182189941</v>
      </c>
      <c r="S143" s="4" t="s">
        <v>47</v>
      </c>
      <c r="T143" s="23" t="s">
        <v>47</v>
      </c>
      <c r="W143" s="10"/>
      <c r="X143" s="5">
        <v>10.325995195195944</v>
      </c>
      <c r="Y143" s="11">
        <v>10.055550781628966</v>
      </c>
      <c r="Z143" s="21">
        <v>0.12138827625541</v>
      </c>
      <c r="AF143" s="21">
        <v>0.12138827625541</v>
      </c>
    </row>
    <row r="144" spans="11:32" x14ac:dyDescent="0.25">
      <c r="L144">
        <f t="shared" ref="L144:L207" si="13">L132</f>
        <v>10</v>
      </c>
      <c r="M144" s="9">
        <v>0.1225</v>
      </c>
      <c r="N144" s="4">
        <v>0.11978276252746582</v>
      </c>
      <c r="O144" s="4">
        <v>0.12094352722167968</v>
      </c>
      <c r="P144" s="4">
        <v>0.11693495750427246</v>
      </c>
      <c r="Q144" s="4">
        <v>0.12264945030212403</v>
      </c>
      <c r="R144" s="4">
        <v>0.11860311508178711</v>
      </c>
      <c r="S144" s="4" t="s">
        <v>47</v>
      </c>
      <c r="T144" s="23" t="s">
        <v>47</v>
      </c>
      <c r="W144" s="10"/>
      <c r="X144" s="5">
        <v>11.81215071239032</v>
      </c>
      <c r="Y144" s="11">
        <v>10.096800321342826</v>
      </c>
      <c r="Z144" s="21">
        <v>-2.7650549616225699E-2</v>
      </c>
      <c r="AF144" s="21">
        <v>-2.7650549616225699E-2</v>
      </c>
    </row>
    <row r="145" spans="11:32" x14ac:dyDescent="0.25">
      <c r="L145">
        <f t="shared" si="13"/>
        <v>11</v>
      </c>
      <c r="M145" s="9">
        <v>0.1225</v>
      </c>
      <c r="N145" s="4">
        <v>0.11982086181640625</v>
      </c>
      <c r="O145" s="4">
        <v>0.12225893020629883</v>
      </c>
      <c r="P145" s="4">
        <v>0.11723095893859864</v>
      </c>
      <c r="Q145" s="4">
        <v>0.1224946403503418</v>
      </c>
      <c r="R145" s="4">
        <v>0.11729889869689941</v>
      </c>
      <c r="S145" s="4" t="s">
        <v>47</v>
      </c>
      <c r="T145" s="23" t="s">
        <v>47</v>
      </c>
      <c r="W145" s="10"/>
      <c r="X145" s="5">
        <v>11.284003391085648</v>
      </c>
      <c r="Y145" s="11">
        <v>9.836988781726987</v>
      </c>
      <c r="Z145" s="21">
        <v>-0.11630264956929399</v>
      </c>
      <c r="AF145" s="21">
        <v>-0.11630264956929399</v>
      </c>
    </row>
    <row r="146" spans="11:32" x14ac:dyDescent="0.25">
      <c r="L146">
        <f t="shared" si="13"/>
        <v>12</v>
      </c>
      <c r="M146" s="9">
        <v>0.1225</v>
      </c>
      <c r="N146" s="4">
        <v>0.11972285270690917</v>
      </c>
      <c r="O146" s="4">
        <v>0.12312153816223144</v>
      </c>
      <c r="P146" s="4">
        <v>0.11751726150512695</v>
      </c>
      <c r="Q146" s="4">
        <v>0.1224946403503418</v>
      </c>
      <c r="R146" s="4">
        <v>0.11575796127319336</v>
      </c>
      <c r="S146" s="4" t="s">
        <v>47</v>
      </c>
      <c r="T146" s="23" t="s">
        <v>47</v>
      </c>
      <c r="W146" s="10">
        <v>8.9</v>
      </c>
      <c r="X146" s="5">
        <v>9.3946666621949788</v>
      </c>
      <c r="Y146" s="11">
        <v>8.7490833249121778</v>
      </c>
      <c r="Z146" s="21">
        <v>4.6557279741404903E-2</v>
      </c>
      <c r="AF146" s="21">
        <v>4.6557279741404903E-2</v>
      </c>
    </row>
    <row r="147" spans="11:32" x14ac:dyDescent="0.25">
      <c r="K147">
        <f t="shared" ref="K147" si="14">K135+1</f>
        <v>2012</v>
      </c>
      <c r="L147">
        <f t="shared" si="13"/>
        <v>1</v>
      </c>
      <c r="M147" s="9">
        <v>0.1225</v>
      </c>
      <c r="N147" s="4">
        <v>0.11952411651611328</v>
      </c>
      <c r="O147" s="4">
        <v>0.12374083518981933</v>
      </c>
      <c r="P147" s="4">
        <v>0.11779352188110352</v>
      </c>
      <c r="Q147" s="4">
        <v>0.1224946403503418</v>
      </c>
      <c r="R147" s="4">
        <v>0.11406745910644531</v>
      </c>
      <c r="S147" s="4" t="s">
        <v>47</v>
      </c>
      <c r="T147" s="23" t="s">
        <v>47</v>
      </c>
      <c r="W147" s="10">
        <v>10.180204786372244</v>
      </c>
      <c r="X147" s="5">
        <v>10.907421233970126</v>
      </c>
      <c r="Y147" s="11">
        <v>10.457512847499018</v>
      </c>
      <c r="Z147" s="21">
        <v>7.7104506137416706E-2</v>
      </c>
      <c r="AF147" s="21">
        <v>7.7104506137416706E-2</v>
      </c>
    </row>
    <row r="148" spans="11:32" x14ac:dyDescent="0.25">
      <c r="L148">
        <f t="shared" si="13"/>
        <v>2</v>
      </c>
      <c r="M148" s="9">
        <v>0.1225</v>
      </c>
      <c r="N148" s="4">
        <v>0.11825340270996093</v>
      </c>
      <c r="O148" s="4">
        <v>0.12012203216552735</v>
      </c>
      <c r="P148" s="4">
        <v>0.11805942535400391</v>
      </c>
      <c r="Q148" s="4">
        <v>0.1224946403503418</v>
      </c>
      <c r="R148" s="4">
        <v>0.1123375129699707</v>
      </c>
      <c r="S148" s="4" t="s">
        <v>47</v>
      </c>
      <c r="T148" s="23" t="s">
        <v>47</v>
      </c>
      <c r="W148" s="10">
        <v>12.396783911989786</v>
      </c>
      <c r="X148" s="5">
        <v>13.392414657174086</v>
      </c>
      <c r="Y148" s="11">
        <v>10.978977397954907</v>
      </c>
      <c r="Z148" s="21">
        <v>0.203564609908927</v>
      </c>
      <c r="AF148" s="21">
        <v>0.203564609908927</v>
      </c>
    </row>
    <row r="149" spans="11:32" x14ac:dyDescent="0.25">
      <c r="L149">
        <f t="shared" si="13"/>
        <v>3</v>
      </c>
      <c r="M149" s="9">
        <v>0.1275</v>
      </c>
      <c r="N149" s="4">
        <v>0.12158248901367187</v>
      </c>
      <c r="O149" s="4">
        <v>0.12467370033264161</v>
      </c>
      <c r="P149" s="4">
        <v>0.11831470489501954</v>
      </c>
      <c r="Q149" s="4">
        <v>0.12764945030212402</v>
      </c>
      <c r="R149" s="4">
        <v>0.11569209098815918</v>
      </c>
      <c r="S149" s="4" t="s">
        <v>47</v>
      </c>
      <c r="T149" s="23">
        <v>0.16</v>
      </c>
      <c r="W149" s="10">
        <v>15.340235936739219</v>
      </c>
      <c r="X149" s="5">
        <v>17.301276218125949</v>
      </c>
      <c r="Y149" s="11">
        <v>11.257666056225403</v>
      </c>
      <c r="Z149" s="21">
        <v>0.19343630210739701</v>
      </c>
      <c r="AF149" s="21">
        <v>0.19343630210739701</v>
      </c>
    </row>
    <row r="150" spans="11:32" x14ac:dyDescent="0.25">
      <c r="L150">
        <f t="shared" si="13"/>
        <v>4</v>
      </c>
      <c r="M150" s="9">
        <v>0.13250000000000001</v>
      </c>
      <c r="N150" s="4">
        <v>0.12504484176635741</v>
      </c>
      <c r="O150" s="4">
        <v>0.12971194267272948</v>
      </c>
      <c r="P150" s="4">
        <v>0.11855912208557129</v>
      </c>
      <c r="Q150" s="4">
        <v>0.13264945030212402</v>
      </c>
      <c r="R150" s="4">
        <v>0.11925884246826172</v>
      </c>
      <c r="S150" s="4" t="s">
        <v>47</v>
      </c>
      <c r="T150" s="23">
        <v>0.16</v>
      </c>
      <c r="W150" s="10">
        <v>15.99079582087704</v>
      </c>
      <c r="X150" s="5">
        <v>17.766620700904795</v>
      </c>
      <c r="Y150" s="11">
        <v>10.93896987605784</v>
      </c>
      <c r="Z150" s="21">
        <v>0.14486184350081499</v>
      </c>
      <c r="AF150" s="21">
        <v>0.14486184350081499</v>
      </c>
    </row>
    <row r="151" spans="11:32" x14ac:dyDescent="0.25">
      <c r="L151">
        <f t="shared" si="13"/>
        <v>5</v>
      </c>
      <c r="M151" s="9">
        <v>0.13250000000000001</v>
      </c>
      <c r="N151" s="4">
        <v>0.12465593338012695</v>
      </c>
      <c r="O151" s="4">
        <v>0.12917790412902833</v>
      </c>
      <c r="P151" s="4">
        <v>0.11879250526428223</v>
      </c>
      <c r="Q151" s="4">
        <v>0.13249464035034181</v>
      </c>
      <c r="R151" s="4">
        <v>0.1181587028503418</v>
      </c>
      <c r="S151" s="4" t="s">
        <v>47</v>
      </c>
      <c r="T151" s="23">
        <v>0.16</v>
      </c>
      <c r="W151" s="10">
        <v>15.371586476797489</v>
      </c>
      <c r="X151" s="5">
        <v>16.555981477656871</v>
      </c>
      <c r="Y151" s="11">
        <v>10.578341607323154</v>
      </c>
      <c r="Z151" s="21">
        <v>-0.121766409573501</v>
      </c>
      <c r="AF151" s="21">
        <v>-0.121766409573501</v>
      </c>
    </row>
    <row r="152" spans="11:32" x14ac:dyDescent="0.25">
      <c r="L152">
        <f t="shared" si="13"/>
        <v>6</v>
      </c>
      <c r="M152" s="9">
        <v>0.13250000000000001</v>
      </c>
      <c r="N152" s="4">
        <v>0.12440560340881347</v>
      </c>
      <c r="O152" s="4">
        <v>0.12861671447753906</v>
      </c>
      <c r="P152" s="4">
        <v>0.1190147876739502</v>
      </c>
      <c r="Q152" s="4">
        <v>0.13249464035034181</v>
      </c>
      <c r="R152" s="4">
        <v>0.11749628067016601</v>
      </c>
      <c r="S152" s="4" t="s">
        <v>47</v>
      </c>
      <c r="T152" s="23">
        <v>0.16</v>
      </c>
      <c r="W152" s="10">
        <v>14.671035173984876</v>
      </c>
      <c r="X152" s="5">
        <v>15.123979589076171</v>
      </c>
      <c r="Y152" s="11">
        <v>9.2446760433906832</v>
      </c>
      <c r="Z152" s="21">
        <v>7.9121402046885697E-3</v>
      </c>
      <c r="AF152" s="21">
        <v>7.9121402046885697E-3</v>
      </c>
    </row>
    <row r="153" spans="11:32" x14ac:dyDescent="0.25">
      <c r="L153">
        <f t="shared" si="13"/>
        <v>7</v>
      </c>
      <c r="M153" s="9">
        <v>0.13250000000000001</v>
      </c>
      <c r="N153" s="4">
        <v>0.12449005126953125</v>
      </c>
      <c r="O153" s="4">
        <v>0.1288875961303711</v>
      </c>
      <c r="P153" s="4">
        <v>0.11922602653503418</v>
      </c>
      <c r="Q153" s="4">
        <v>0.13249464035034181</v>
      </c>
      <c r="R153" s="4">
        <v>0.1173519515991211</v>
      </c>
      <c r="S153" s="4" t="s">
        <v>47</v>
      </c>
      <c r="T153" s="23">
        <v>0.16</v>
      </c>
      <c r="W153" s="10">
        <v>14.535537461704948</v>
      </c>
      <c r="X153" s="5">
        <v>14.919509299371612</v>
      </c>
      <c r="Y153" s="11">
        <v>8.9</v>
      </c>
      <c r="Z153" s="21">
        <v>3.4955940047199298E-2</v>
      </c>
      <c r="AF153" s="21">
        <v>3.4955940047199298E-2</v>
      </c>
    </row>
    <row r="154" spans="11:32" x14ac:dyDescent="0.25">
      <c r="L154">
        <f t="shared" si="13"/>
        <v>8</v>
      </c>
      <c r="M154" s="9">
        <v>0.13250000000000001</v>
      </c>
      <c r="N154" s="4">
        <v>0.12478226661682129</v>
      </c>
      <c r="O154" s="4">
        <v>0.12943192481994628</v>
      </c>
      <c r="P154" s="4">
        <v>0.11942635536193848</v>
      </c>
      <c r="Q154" s="4">
        <v>0.13249464035034181</v>
      </c>
      <c r="R154" s="4">
        <v>0.11777613639831543</v>
      </c>
      <c r="S154" s="4" t="s">
        <v>47</v>
      </c>
      <c r="T154" s="23">
        <v>0.16</v>
      </c>
      <c r="W154" s="10">
        <v>14.926533424801718</v>
      </c>
      <c r="X154" s="5">
        <v>15.59849015035654</v>
      </c>
      <c r="Y154" s="11">
        <v>10.1</v>
      </c>
      <c r="Z154" s="21">
        <v>-8.7647810066547996E-2</v>
      </c>
      <c r="AF154" s="21">
        <v>-8.7647810066547996E-2</v>
      </c>
    </row>
    <row r="155" spans="11:32" x14ac:dyDescent="0.25">
      <c r="L155">
        <f t="shared" si="13"/>
        <v>9</v>
      </c>
      <c r="M155" s="9">
        <v>0.13250000000000001</v>
      </c>
      <c r="N155" s="4">
        <v>0.12525823593139648</v>
      </c>
      <c r="O155" s="4">
        <v>0.1301358985900879</v>
      </c>
      <c r="P155" s="4">
        <v>0.11961603164672852</v>
      </c>
      <c r="Q155" s="4">
        <v>0.13249464035034181</v>
      </c>
      <c r="R155" s="4">
        <v>0.11878639221191406</v>
      </c>
      <c r="S155" s="4" t="s">
        <v>47</v>
      </c>
      <c r="T155" s="23">
        <v>0.16</v>
      </c>
      <c r="W155" s="10">
        <v>14.845543457311862</v>
      </c>
      <c r="X155" s="5">
        <v>15.069051111467459</v>
      </c>
      <c r="Y155" s="11">
        <v>10.669817724671816</v>
      </c>
      <c r="Z155" s="21">
        <v>-0.138770117424421</v>
      </c>
      <c r="AF155" s="21">
        <v>-0.138770117424421</v>
      </c>
    </row>
    <row r="156" spans="11:32" x14ac:dyDescent="0.25">
      <c r="L156">
        <f t="shared" si="13"/>
        <v>10</v>
      </c>
      <c r="M156" s="9">
        <v>0.13250000000000001</v>
      </c>
      <c r="N156" s="4">
        <v>0.12521203994750976</v>
      </c>
      <c r="O156" s="4">
        <v>0.12819104194641112</v>
      </c>
      <c r="P156" s="4">
        <v>0.11979541778564454</v>
      </c>
      <c r="Q156" s="4">
        <v>0.13249464035034181</v>
      </c>
      <c r="R156" s="4">
        <v>0.12036707878112793</v>
      </c>
      <c r="S156" s="4" t="s">
        <v>47</v>
      </c>
      <c r="T156" s="23">
        <v>0.16</v>
      </c>
      <c r="W156" s="10">
        <v>15.024981952752569</v>
      </c>
      <c r="X156" s="5">
        <v>14.986385267580616</v>
      </c>
      <c r="Y156" s="11">
        <v>11.442784593024015</v>
      </c>
      <c r="Z156" s="21">
        <v>-6.2283284262624798E-2</v>
      </c>
      <c r="AF156" s="21">
        <v>-6.2283284262624798E-2</v>
      </c>
    </row>
    <row r="157" spans="11:32" x14ac:dyDescent="0.25">
      <c r="L157">
        <f t="shared" si="13"/>
        <v>11</v>
      </c>
      <c r="M157" s="9">
        <v>0.13250000000000001</v>
      </c>
      <c r="N157" s="4">
        <v>0.12588397979736329</v>
      </c>
      <c r="O157" s="4">
        <v>0.1286044979095459</v>
      </c>
      <c r="P157" s="4">
        <v>0.11996495246887207</v>
      </c>
      <c r="Q157" s="4">
        <v>0.13249464035034181</v>
      </c>
      <c r="R157" s="4">
        <v>0.12247181892395019</v>
      </c>
      <c r="S157" s="4" t="s">
        <v>47</v>
      </c>
      <c r="T157" s="23">
        <v>0.16</v>
      </c>
      <c r="W157" s="10">
        <v>14.378553912230714</v>
      </c>
      <c r="X157" s="5">
        <v>14.21582531791924</v>
      </c>
      <c r="Y157" s="11">
        <v>10.708597928749299</v>
      </c>
      <c r="Z157" s="21">
        <v>6.5447058092719501E-2</v>
      </c>
      <c r="AF157" s="21">
        <v>6.5447058092719501E-2</v>
      </c>
    </row>
    <row r="158" spans="11:32" x14ac:dyDescent="0.25">
      <c r="L158">
        <f t="shared" si="13"/>
        <v>12</v>
      </c>
      <c r="M158" s="9">
        <v>0.13250000000000001</v>
      </c>
      <c r="N158" s="4">
        <v>0.12657607078552247</v>
      </c>
      <c r="O158" s="4">
        <v>0.12865654945373536</v>
      </c>
      <c r="P158" s="4">
        <v>0.12012518882751465</v>
      </c>
      <c r="Q158" s="4">
        <v>0.13249464035034181</v>
      </c>
      <c r="R158" s="4">
        <v>0.1250279140472412</v>
      </c>
      <c r="S158" s="4" t="s">
        <v>47</v>
      </c>
      <c r="T158" s="23">
        <v>0.16</v>
      </c>
      <c r="W158" s="10">
        <v>14.015886679427311</v>
      </c>
      <c r="X158" s="5">
        <v>14.215843377881853</v>
      </c>
      <c r="Y158" s="11">
        <v>11.1</v>
      </c>
      <c r="Z158" s="21">
        <v>9.7643826052483604E-2</v>
      </c>
      <c r="AF158" s="21">
        <v>9.7643826052483604E-2</v>
      </c>
    </row>
    <row r="159" spans="11:32" x14ac:dyDescent="0.25">
      <c r="K159">
        <f t="shared" ref="K159" si="15">K147+1</f>
        <v>2013</v>
      </c>
      <c r="L159">
        <f t="shared" si="13"/>
        <v>1</v>
      </c>
      <c r="M159" s="9">
        <v>0.125</v>
      </c>
      <c r="N159" s="4">
        <v>0.12193883895874023</v>
      </c>
      <c r="O159" s="4">
        <v>0.12227367401123047</v>
      </c>
      <c r="P159" s="4">
        <v>0.12027677536010742</v>
      </c>
      <c r="Q159" s="4">
        <v>0.12476242065429688</v>
      </c>
      <c r="R159" s="4">
        <v>0.120442476272583</v>
      </c>
      <c r="S159" s="4" t="s">
        <v>47</v>
      </c>
      <c r="T159" s="23" t="s">
        <v>47</v>
      </c>
      <c r="W159" s="10">
        <v>12.609610152765811</v>
      </c>
      <c r="X159" s="5">
        <v>11.910852410303463</v>
      </c>
      <c r="Y159" s="11">
        <v>9.6</v>
      </c>
      <c r="Z159" s="21">
        <v>0.13216048460617999</v>
      </c>
      <c r="AF159" s="21">
        <v>0.13216048460617999</v>
      </c>
    </row>
    <row r="160" spans="11:32" x14ac:dyDescent="0.25">
      <c r="L160">
        <f t="shared" si="13"/>
        <v>2</v>
      </c>
      <c r="M160" s="9">
        <v>0.125</v>
      </c>
      <c r="N160" s="4">
        <v>0.12254814147949218</v>
      </c>
      <c r="O160" s="4">
        <v>0.12116814613342285</v>
      </c>
      <c r="P160" s="4">
        <v>0.12042045593261719</v>
      </c>
      <c r="Q160" s="4">
        <v>0.1249946403503418</v>
      </c>
      <c r="R160" s="4">
        <v>0.12360932350158692</v>
      </c>
      <c r="S160" s="4" t="s">
        <v>47</v>
      </c>
      <c r="T160" s="23" t="s">
        <v>47</v>
      </c>
      <c r="W160" s="10">
        <v>10.931492076090592</v>
      </c>
      <c r="X160" s="5">
        <v>10.410755952893126</v>
      </c>
      <c r="Y160" s="11">
        <v>8.7239143555848955</v>
      </c>
      <c r="Z160" s="21">
        <v>8.2746669789160301E-2</v>
      </c>
      <c r="AF160" s="21">
        <v>8.2746669789160301E-2</v>
      </c>
    </row>
    <row r="161" spans="11:32" x14ac:dyDescent="0.25">
      <c r="L161">
        <f t="shared" si="13"/>
        <v>3</v>
      </c>
      <c r="M161" s="9">
        <v>0.125</v>
      </c>
      <c r="N161" s="4">
        <v>0.12326360702514648</v>
      </c>
      <c r="O161" s="4">
        <v>0.12058677673339843</v>
      </c>
      <c r="P161" s="4">
        <v>0.12055700302124023</v>
      </c>
      <c r="Q161" s="4">
        <v>0.1249946403503418</v>
      </c>
      <c r="R161" s="4">
        <v>0.12691599845886231</v>
      </c>
      <c r="S161" s="4" t="s">
        <v>47</v>
      </c>
      <c r="T161" s="23" t="s">
        <v>47</v>
      </c>
      <c r="W161" s="10">
        <v>9.2534288757585728</v>
      </c>
      <c r="X161" s="5">
        <v>8.3245503454014909</v>
      </c>
      <c r="Y161" s="11">
        <v>9.1999999999999993</v>
      </c>
      <c r="Z161" s="21">
        <v>2.1969372570741798E-2</v>
      </c>
      <c r="AF161" s="21">
        <v>2.1969372570741798E-2</v>
      </c>
    </row>
    <row r="162" spans="11:32" x14ac:dyDescent="0.25">
      <c r="L162">
        <f t="shared" si="13"/>
        <v>4</v>
      </c>
      <c r="M162" s="9">
        <v>0.115</v>
      </c>
      <c r="N162" s="4">
        <v>0.11674838066101074</v>
      </c>
      <c r="O162" s="4">
        <v>0.1113709831237793</v>
      </c>
      <c r="P162" s="4">
        <v>0.1206872272491455</v>
      </c>
      <c r="Q162" s="4">
        <v>0.11468501091003418</v>
      </c>
      <c r="R162" s="4">
        <v>0.12025031089782715</v>
      </c>
      <c r="S162" s="4" t="s">
        <v>47</v>
      </c>
      <c r="T162" s="23" t="s">
        <v>47</v>
      </c>
      <c r="W162" s="10">
        <v>9.9479162030769004</v>
      </c>
      <c r="X162" s="5">
        <v>8.8903929358307323</v>
      </c>
      <c r="Y162" s="11">
        <v>9.3000000000000007</v>
      </c>
      <c r="Z162" s="21">
        <v>-3.86092736363986E-2</v>
      </c>
      <c r="AF162" s="21">
        <v>-3.86092736363986E-2</v>
      </c>
    </row>
    <row r="163" spans="11:32" x14ac:dyDescent="0.25">
      <c r="L163">
        <f t="shared" si="13"/>
        <v>5</v>
      </c>
      <c r="M163" s="9">
        <v>0.115</v>
      </c>
      <c r="N163" s="4">
        <v>0.11805318832397461</v>
      </c>
      <c r="O163" s="4">
        <v>0.11290032386779786</v>
      </c>
      <c r="P163" s="4">
        <v>0.12081198692321778</v>
      </c>
      <c r="Q163" s="4">
        <v>0.11499464035034179</v>
      </c>
      <c r="R163" s="4">
        <v>0.12350579261779786</v>
      </c>
      <c r="S163" s="4" t="s">
        <v>47</v>
      </c>
      <c r="T163" s="23" t="s">
        <v>47</v>
      </c>
      <c r="W163" s="10">
        <v>9.151891511386836</v>
      </c>
      <c r="X163" s="5">
        <v>7.3550394197249176</v>
      </c>
      <c r="Y163" s="11">
        <v>7.6</v>
      </c>
      <c r="Z163" s="21">
        <v>7.2955600776372503E-2</v>
      </c>
      <c r="AF163" s="21">
        <v>7.2955600776372503E-2</v>
      </c>
    </row>
    <row r="164" spans="11:32" x14ac:dyDescent="0.25">
      <c r="L164">
        <f t="shared" si="13"/>
        <v>6</v>
      </c>
      <c r="M164" s="9">
        <v>0.105</v>
      </c>
      <c r="N164" s="4">
        <v>0.1113755989074707</v>
      </c>
      <c r="O164" s="4">
        <v>0.10329954147338867</v>
      </c>
      <c r="P164" s="4">
        <v>0.12093208312988281</v>
      </c>
      <c r="Q164" s="4">
        <v>0.10468501091003418</v>
      </c>
      <c r="R164" s="4">
        <v>0.11658576011657715</v>
      </c>
      <c r="S164" s="4">
        <v>0.16</v>
      </c>
      <c r="T164" s="23" t="s">
        <v>47</v>
      </c>
      <c r="W164" s="10">
        <v>8.2533217730620549</v>
      </c>
      <c r="X164" s="5">
        <v>6.5111649418340107</v>
      </c>
      <c r="Y164" s="11">
        <v>7.1</v>
      </c>
      <c r="Z164" s="21">
        <v>-3.3660531419628902E-2</v>
      </c>
      <c r="AF164" s="21">
        <v>-3.3660531419628902E-2</v>
      </c>
    </row>
    <row r="165" spans="11:32" x14ac:dyDescent="0.25">
      <c r="L165">
        <f t="shared" si="13"/>
        <v>7</v>
      </c>
      <c r="M165" s="9">
        <v>0.105</v>
      </c>
      <c r="N165" s="4">
        <v>0.11221641540527344</v>
      </c>
      <c r="O165" s="4">
        <v>0.10341684341430664</v>
      </c>
      <c r="P165" s="4">
        <v>0.12104826927185058</v>
      </c>
      <c r="Q165" s="4">
        <v>0.1049946403503418</v>
      </c>
      <c r="R165" s="4">
        <v>0.11940591812133788</v>
      </c>
      <c r="S165" s="4">
        <v>0.16</v>
      </c>
      <c r="T165" s="23" t="s">
        <v>47</v>
      </c>
      <c r="W165" s="10">
        <v>7.8276897344911873</v>
      </c>
      <c r="X165" s="5">
        <v>6.0691981368289163</v>
      </c>
      <c r="Y165" s="11">
        <v>7.4</v>
      </c>
      <c r="Z165" s="21">
        <v>-5.1816088889465997E-2</v>
      </c>
      <c r="AF165" s="21">
        <v>-5.1816088889465997E-2</v>
      </c>
    </row>
    <row r="166" spans="11:32" x14ac:dyDescent="0.25">
      <c r="L166">
        <f t="shared" si="13"/>
        <v>8</v>
      </c>
      <c r="M166" s="9">
        <v>0.105</v>
      </c>
      <c r="N166" s="4">
        <v>0.11352505683898925</v>
      </c>
      <c r="O166" s="4">
        <v>0.10604889869689942</v>
      </c>
      <c r="P166" s="4">
        <v>0.12116118431091309</v>
      </c>
      <c r="Q166" s="4">
        <v>0.1049946403503418</v>
      </c>
      <c r="R166" s="4">
        <v>0.12189549446105957</v>
      </c>
      <c r="S166" s="4">
        <v>0.16</v>
      </c>
      <c r="T166" s="23" t="s">
        <v>47</v>
      </c>
      <c r="W166" s="10">
        <v>8.7797921524808231</v>
      </c>
      <c r="X166" s="5">
        <v>7.1468398999047622</v>
      </c>
      <c r="Y166" s="11">
        <v>9.6</v>
      </c>
      <c r="Z166" s="21">
        <v>7.8407359756567693E-2</v>
      </c>
      <c r="AF166" s="21">
        <v>7.8407359756567693E-2</v>
      </c>
    </row>
    <row r="167" spans="11:32" x14ac:dyDescent="0.25">
      <c r="L167">
        <f t="shared" si="13"/>
        <v>9</v>
      </c>
      <c r="M167" s="9">
        <v>0.105</v>
      </c>
      <c r="N167" s="4">
        <v>0.11506096839904785</v>
      </c>
      <c r="O167" s="4">
        <v>0.10998069763183593</v>
      </c>
      <c r="P167" s="4">
        <v>0.12127134323120117</v>
      </c>
      <c r="Q167" s="4">
        <v>0.1049946403503418</v>
      </c>
      <c r="R167" s="4">
        <v>0.12399720191955567</v>
      </c>
      <c r="S167" s="4">
        <v>0.16</v>
      </c>
      <c r="T167" s="23" t="s">
        <v>47</v>
      </c>
      <c r="W167" s="10">
        <v>9.1085317376720951</v>
      </c>
      <c r="X167" s="5">
        <v>6.9440884255811568</v>
      </c>
      <c r="Y167" s="11">
        <v>8.1</v>
      </c>
      <c r="Z167" s="21">
        <v>-1.18631021110026E-2</v>
      </c>
      <c r="AF167" s="21">
        <v>-1.18631021110026E-2</v>
      </c>
    </row>
    <row r="168" spans="11:32" x14ac:dyDescent="0.25">
      <c r="L168">
        <f t="shared" si="13"/>
        <v>10</v>
      </c>
      <c r="M168" s="9">
        <v>0.105</v>
      </c>
      <c r="N168" s="4">
        <v>0.11568603515625001</v>
      </c>
      <c r="O168" s="4">
        <v>0.11070387840270995</v>
      </c>
      <c r="P168" s="4">
        <v>0.12137912750244141</v>
      </c>
      <c r="Q168" s="4">
        <v>0.1049946403503418</v>
      </c>
      <c r="R168" s="4">
        <v>0.12566649436950683</v>
      </c>
      <c r="S168" s="4">
        <v>0.16</v>
      </c>
      <c r="T168" s="23" t="s">
        <v>47</v>
      </c>
      <c r="W168" s="10">
        <v>10.18567068329105</v>
      </c>
      <c r="X168" s="5">
        <v>8.4543934987895284</v>
      </c>
      <c r="Y168" s="11">
        <v>9.4</v>
      </c>
      <c r="Z168" s="21">
        <v>4.4774946834669697E-2</v>
      </c>
      <c r="AF168" s="21">
        <v>4.4774946834669697E-2</v>
      </c>
    </row>
    <row r="169" spans="11:32" x14ac:dyDescent="0.25">
      <c r="L169">
        <f t="shared" si="13"/>
        <v>11</v>
      </c>
      <c r="M169" s="9">
        <v>0.105</v>
      </c>
      <c r="N169" s="4">
        <v>0.11631072998046875</v>
      </c>
      <c r="O169" s="4">
        <v>0.11189309120178223</v>
      </c>
      <c r="P169" s="4">
        <v>0.12148480415344239</v>
      </c>
      <c r="Q169" s="4">
        <v>0.1049946403503418</v>
      </c>
      <c r="R169" s="4">
        <v>0.12687036514282227</v>
      </c>
      <c r="S169" s="4">
        <v>0.16</v>
      </c>
      <c r="T169" s="23" t="s">
        <v>47</v>
      </c>
      <c r="W169" s="10">
        <v>11.421558682076224</v>
      </c>
      <c r="X169" s="5">
        <v>10.117023356933785</v>
      </c>
      <c r="Y169" s="11">
        <v>11</v>
      </c>
      <c r="Z169" s="21">
        <v>4.70824469380324E-3</v>
      </c>
      <c r="AF169" s="21">
        <v>4.70824469380324E-3</v>
      </c>
    </row>
    <row r="170" spans="11:32" x14ac:dyDescent="0.25">
      <c r="L170">
        <f t="shared" si="13"/>
        <v>12</v>
      </c>
      <c r="M170" s="9">
        <v>0.105</v>
      </c>
      <c r="N170" s="4">
        <v>0.11553041458129883</v>
      </c>
      <c r="O170" s="4">
        <v>0.10795212745666503</v>
      </c>
      <c r="P170" s="4">
        <v>0.12158850669860839</v>
      </c>
      <c r="Q170" s="4">
        <v>0.1049946403503418</v>
      </c>
      <c r="R170" s="4">
        <v>0.12758639335632324</v>
      </c>
      <c r="S170" s="4">
        <v>0.16</v>
      </c>
      <c r="T170" s="23" t="s">
        <v>47</v>
      </c>
      <c r="W170" s="10">
        <v>11.924345978924862</v>
      </c>
      <c r="X170" s="5">
        <v>11.188717030465767</v>
      </c>
      <c r="Y170" s="11">
        <v>12.1</v>
      </c>
      <c r="Z170" s="21">
        <v>-5.51373198537927E-2</v>
      </c>
      <c r="AF170" s="21">
        <v>-5.51373198537927E-2</v>
      </c>
    </row>
    <row r="171" spans="11:32" x14ac:dyDescent="0.25">
      <c r="K171">
        <f t="shared" ref="K171" si="16">K159+1</f>
        <v>2014</v>
      </c>
      <c r="L171">
        <f t="shared" si="13"/>
        <v>1</v>
      </c>
      <c r="M171" s="9">
        <v>0.105</v>
      </c>
      <c r="N171" s="4">
        <v>0.11619811058044434</v>
      </c>
      <c r="O171" s="4">
        <v>0.11030543327331543</v>
      </c>
      <c r="P171" s="4">
        <v>0.12169025421142578</v>
      </c>
      <c r="Q171" s="4">
        <v>0.1049946403503418</v>
      </c>
      <c r="R171" s="4">
        <v>0.12780210494995117</v>
      </c>
      <c r="S171" s="4">
        <v>0.16</v>
      </c>
      <c r="T171" s="23" t="s">
        <v>47</v>
      </c>
      <c r="W171" s="10">
        <v>12.302482243013429</v>
      </c>
      <c r="X171" s="5">
        <v>12.189245406238484</v>
      </c>
      <c r="Y171" s="11">
        <v>12.6</v>
      </c>
      <c r="Z171" s="21">
        <v>-7.0785416468286302E-2</v>
      </c>
      <c r="AF171" s="21">
        <v>-7.0785416468286302E-2</v>
      </c>
    </row>
    <row r="172" spans="11:32" x14ac:dyDescent="0.25">
      <c r="L172">
        <f t="shared" si="13"/>
        <v>2</v>
      </c>
      <c r="M172" s="9">
        <v>0.105</v>
      </c>
      <c r="N172" s="4">
        <v>0.11622888565063477</v>
      </c>
      <c r="O172" s="4">
        <v>0.11061580657958985</v>
      </c>
      <c r="P172" s="4">
        <v>0.12178991317749023</v>
      </c>
      <c r="Q172" s="4">
        <v>0.1049946403503418</v>
      </c>
      <c r="R172" s="4">
        <v>0.12751519203186035</v>
      </c>
      <c r="S172" s="4">
        <v>0.16</v>
      </c>
      <c r="T172" s="23" t="s">
        <v>47</v>
      </c>
      <c r="W172" s="10">
        <v>12.197806398324246</v>
      </c>
      <c r="X172" s="5">
        <v>12.015146058698988</v>
      </c>
      <c r="Y172" s="11">
        <v>13.1</v>
      </c>
      <c r="Z172" s="21">
        <v>-0.11587853975116</v>
      </c>
      <c r="AF172" s="21">
        <v>-0.11587853975116</v>
      </c>
    </row>
    <row r="173" spans="11:32" x14ac:dyDescent="0.25">
      <c r="L173">
        <f t="shared" si="13"/>
        <v>3</v>
      </c>
      <c r="M173" s="9">
        <v>0.105</v>
      </c>
      <c r="N173" s="4">
        <v>0.11606671333312989</v>
      </c>
      <c r="O173" s="4">
        <v>0.11065070152282715</v>
      </c>
      <c r="P173" s="4">
        <v>0.12188723564147949</v>
      </c>
      <c r="Q173" s="4">
        <v>0.1049946403503418</v>
      </c>
      <c r="R173" s="4">
        <v>0.12673428535461426</v>
      </c>
      <c r="S173" s="4">
        <v>0.16</v>
      </c>
      <c r="T173" s="23" t="s">
        <v>47</v>
      </c>
      <c r="W173" s="10">
        <v>12.383856725932318</v>
      </c>
      <c r="X173" s="5">
        <v>11.912762029161712</v>
      </c>
      <c r="Y173" s="11">
        <v>12.6</v>
      </c>
      <c r="Z173" s="21">
        <v>-0.19548529039072901</v>
      </c>
      <c r="AF173" s="21">
        <v>-0.19548529039072901</v>
      </c>
    </row>
    <row r="174" spans="11:32" x14ac:dyDescent="0.25">
      <c r="L174">
        <f t="shared" si="13"/>
        <v>4</v>
      </c>
      <c r="M174" s="9">
        <v>0.105</v>
      </c>
      <c r="N174" s="4">
        <v>0.11577919006347656</v>
      </c>
      <c r="O174" s="4">
        <v>0.11065975189208985</v>
      </c>
      <c r="P174" s="4">
        <v>0.12198184967041016</v>
      </c>
      <c r="Q174" s="4">
        <v>0.1049946403503418</v>
      </c>
      <c r="R174" s="4">
        <v>0.12548052787780761</v>
      </c>
      <c r="S174" s="4">
        <v>0.16</v>
      </c>
      <c r="T174" s="23" t="s">
        <v>47</v>
      </c>
      <c r="W174" s="10">
        <v>12.254456578581056</v>
      </c>
      <c r="X174" s="5">
        <v>12.034057712576413</v>
      </c>
      <c r="Y174" s="11">
        <v>13.1</v>
      </c>
      <c r="Z174" s="21">
        <v>-0.109342723827862</v>
      </c>
      <c r="AF174" s="21">
        <v>-0.109342723827862</v>
      </c>
    </row>
    <row r="175" spans="11:32" x14ac:dyDescent="0.25">
      <c r="L175">
        <f t="shared" si="13"/>
        <v>5</v>
      </c>
      <c r="M175" s="9">
        <v>0.105</v>
      </c>
      <c r="N175" s="4">
        <v>0.11574852943420411</v>
      </c>
      <c r="O175" s="4">
        <v>0.11213685035705566</v>
      </c>
      <c r="P175" s="4">
        <v>0.12207324981689453</v>
      </c>
      <c r="Q175" s="4">
        <v>0.1049946403503418</v>
      </c>
      <c r="R175" s="4">
        <v>0.12378937721252442</v>
      </c>
      <c r="S175" s="4">
        <v>0.16</v>
      </c>
      <c r="T175" s="23" t="s">
        <v>47</v>
      </c>
      <c r="W175" s="10">
        <v>13.670248925414199</v>
      </c>
      <c r="X175" s="5">
        <v>13.93812384660923</v>
      </c>
      <c r="Y175" s="11">
        <v>14.8</v>
      </c>
      <c r="Z175" s="21">
        <v>-4.46866543490212E-2</v>
      </c>
      <c r="AF175" s="21">
        <v>-4.46866543490212E-2</v>
      </c>
    </row>
    <row r="176" spans="11:32" x14ac:dyDescent="0.25">
      <c r="L176">
        <f t="shared" si="13"/>
        <v>6</v>
      </c>
      <c r="M176" s="9">
        <v>0.105</v>
      </c>
      <c r="N176" s="4">
        <v>0.11563668251037598</v>
      </c>
      <c r="O176" s="4">
        <v>0.11367897987365723</v>
      </c>
      <c r="P176" s="4">
        <v>0.12216078758239746</v>
      </c>
      <c r="Q176" s="4">
        <v>0.1049946403503418</v>
      </c>
      <c r="R176" s="4">
        <v>0.12171231269836426</v>
      </c>
      <c r="S176" s="4">
        <v>0.16</v>
      </c>
      <c r="T176" s="23" t="s">
        <v>47</v>
      </c>
      <c r="W176" s="10">
        <v>14.648771491104256</v>
      </c>
      <c r="X176" s="5">
        <v>15.072713063110385</v>
      </c>
      <c r="Y176" s="11">
        <v>15.8</v>
      </c>
      <c r="Z176" s="21">
        <v>1.61453439822993E-2</v>
      </c>
      <c r="AF176" s="21">
        <v>1.61453439822993E-2</v>
      </c>
    </row>
    <row r="177" spans="11:32" x14ac:dyDescent="0.25">
      <c r="L177">
        <f t="shared" si="13"/>
        <v>7</v>
      </c>
      <c r="M177" s="9">
        <v>0.12</v>
      </c>
      <c r="N177" s="4">
        <v>0.12617901802062989</v>
      </c>
      <c r="O177" s="4">
        <v>0.12769527435302735</v>
      </c>
      <c r="P177" s="4">
        <v>0.12224370002746582</v>
      </c>
      <c r="Q177" s="4">
        <v>0.12045907974243164</v>
      </c>
      <c r="R177" s="4">
        <v>0.13431801795959472</v>
      </c>
      <c r="S177" s="4">
        <v>0.16</v>
      </c>
      <c r="T177" s="23" t="s">
        <v>47</v>
      </c>
      <c r="W177" s="10">
        <v>14.946672880392313</v>
      </c>
      <c r="X177" s="5">
        <v>15.429773029629203</v>
      </c>
      <c r="Y177" s="11">
        <v>17.899999999999999</v>
      </c>
      <c r="Z177" s="21">
        <v>9.4901087218731597E-2</v>
      </c>
      <c r="AF177" s="21">
        <v>9.4901087218731597E-2</v>
      </c>
    </row>
    <row r="178" spans="11:32" x14ac:dyDescent="0.25">
      <c r="L178">
        <f t="shared" si="13"/>
        <v>8</v>
      </c>
      <c r="M178" s="9">
        <v>0.12</v>
      </c>
      <c r="N178" s="4">
        <v>0.12485520362854004</v>
      </c>
      <c r="O178" s="4">
        <v>0.12541261672973633</v>
      </c>
      <c r="P178" s="4">
        <v>0.12232108116149902</v>
      </c>
      <c r="Q178" s="4">
        <v>0.1199946403503418</v>
      </c>
      <c r="R178" s="4">
        <v>0.13169246673583984</v>
      </c>
      <c r="S178" s="4" t="s">
        <v>47</v>
      </c>
      <c r="T178" s="23" t="s">
        <v>47</v>
      </c>
      <c r="W178" s="10">
        <v>13.667896761927565</v>
      </c>
      <c r="X178" s="5">
        <v>13.557979241616437</v>
      </c>
      <c r="Y178" s="11">
        <v>15.6</v>
      </c>
      <c r="Z178" s="21">
        <v>-6.4569274884422906E-2</v>
      </c>
      <c r="AF178" s="21">
        <v>-6.4569274884422906E-2</v>
      </c>
    </row>
    <row r="179" spans="11:32" x14ac:dyDescent="0.25">
      <c r="L179">
        <f t="shared" si="13"/>
        <v>9</v>
      </c>
      <c r="M179" s="9">
        <v>0.12</v>
      </c>
      <c r="N179" s="4">
        <v>0.12322404861450195</v>
      </c>
      <c r="O179" s="4">
        <v>0.12157205581665038</v>
      </c>
      <c r="P179" s="4">
        <v>0.12239201545715332</v>
      </c>
      <c r="Q179" s="4">
        <v>0.1199946403503418</v>
      </c>
      <c r="R179" s="4">
        <v>0.12893747329711913</v>
      </c>
      <c r="S179" s="4" t="s">
        <v>47</v>
      </c>
      <c r="T179" s="23" t="s">
        <v>47</v>
      </c>
      <c r="W179" s="10">
        <v>13.030178178938954</v>
      </c>
      <c r="X179" s="5">
        <v>13.630058804745815</v>
      </c>
      <c r="Y179" s="11">
        <v>15.5</v>
      </c>
      <c r="Z179" s="21">
        <v>-7.6288060799713397E-2</v>
      </c>
      <c r="AF179" s="21">
        <v>-7.6288060799713397E-2</v>
      </c>
    </row>
    <row r="180" spans="11:32" x14ac:dyDescent="0.25">
      <c r="L180">
        <f t="shared" si="13"/>
        <v>10</v>
      </c>
      <c r="M180" s="9">
        <v>0.12</v>
      </c>
      <c r="N180" s="4">
        <v>0.1221483039855957</v>
      </c>
      <c r="O180" s="4">
        <v>0.11997549057006836</v>
      </c>
      <c r="P180" s="4">
        <v>0.1224555492401123</v>
      </c>
      <c r="Q180" s="4">
        <v>0.1199946403503418</v>
      </c>
      <c r="R180" s="4">
        <v>0.12616752624511718</v>
      </c>
      <c r="S180" s="4" t="s">
        <v>47</v>
      </c>
      <c r="T180" s="23" t="s">
        <v>47</v>
      </c>
      <c r="W180" s="10">
        <v>12.133947088721726</v>
      </c>
      <c r="X180" s="5">
        <v>12.728720871441922</v>
      </c>
      <c r="Y180" s="11">
        <v>14.1</v>
      </c>
      <c r="Z180" s="21">
        <v>-0.142422836743476</v>
      </c>
      <c r="AF180" s="21">
        <v>-0.142422836743476</v>
      </c>
    </row>
    <row r="181" spans="11:32" x14ac:dyDescent="0.25">
      <c r="L181">
        <f t="shared" si="13"/>
        <v>11</v>
      </c>
      <c r="M181" s="9">
        <v>0.12</v>
      </c>
      <c r="N181" s="4">
        <v>0.12104545593261719</v>
      </c>
      <c r="O181" s="4">
        <v>0.1181716537475586</v>
      </c>
      <c r="P181" s="4">
        <v>0.1225107479095459</v>
      </c>
      <c r="Q181" s="4">
        <v>0.1199946403503418</v>
      </c>
      <c r="R181" s="4">
        <v>0.1235047721862793</v>
      </c>
      <c r="S181" s="4" t="s">
        <v>47</v>
      </c>
      <c r="T181" s="23" t="s">
        <v>47</v>
      </c>
      <c r="W181" s="10">
        <v>11.487550261887606</v>
      </c>
      <c r="X181" s="5">
        <v>11.90103947459383</v>
      </c>
      <c r="Y181" s="11">
        <v>13.6</v>
      </c>
      <c r="Z181" s="21">
        <v>-0.24489201726291401</v>
      </c>
      <c r="AF181" s="21">
        <v>-0.24489201726291401</v>
      </c>
    </row>
    <row r="182" spans="11:32" x14ac:dyDescent="0.25">
      <c r="L182">
        <f t="shared" si="13"/>
        <v>12</v>
      </c>
      <c r="M182" s="9">
        <v>0.12</v>
      </c>
      <c r="N182" s="4">
        <v>0.11966042518615723</v>
      </c>
      <c r="O182" s="4">
        <v>0.11501811027526855</v>
      </c>
      <c r="P182" s="4">
        <v>0.12255661010742187</v>
      </c>
      <c r="Q182" s="4">
        <v>0.1199946403503418</v>
      </c>
      <c r="R182" s="4">
        <v>0.12107234001159668</v>
      </c>
      <c r="S182" s="4" t="s">
        <v>47</v>
      </c>
      <c r="T182" s="23" t="s">
        <v>47</v>
      </c>
      <c r="W182" s="10">
        <v>10.974663438262141</v>
      </c>
      <c r="X182" s="5">
        <v>10.682574460234306</v>
      </c>
      <c r="Y182" s="11">
        <v>12.6</v>
      </c>
      <c r="Z182" s="21">
        <v>-0.26934271647098301</v>
      </c>
      <c r="AF182" s="21">
        <v>-0.26934271647098301</v>
      </c>
    </row>
    <row r="183" spans="11:32" x14ac:dyDescent="0.25">
      <c r="K183">
        <f t="shared" ref="K183" si="17">K171+1</f>
        <v>2015</v>
      </c>
      <c r="L183">
        <f t="shared" si="13"/>
        <v>1</v>
      </c>
      <c r="M183" s="9">
        <v>0.13</v>
      </c>
      <c r="N183" s="4">
        <v>0.12708446502685547</v>
      </c>
      <c r="O183" s="4">
        <v>0.12645514488220214</v>
      </c>
      <c r="P183" s="4">
        <v>0.1225921630859375</v>
      </c>
      <c r="Q183" s="4">
        <v>0.13030426979064941</v>
      </c>
      <c r="R183" s="4">
        <v>0.12898627281188965</v>
      </c>
      <c r="S183" s="4" t="s">
        <v>47</v>
      </c>
      <c r="T183" s="23" t="s">
        <v>47</v>
      </c>
      <c r="W183" s="10">
        <v>9.8000140636077759</v>
      </c>
      <c r="X183" s="5">
        <v>9.3408586606546322</v>
      </c>
      <c r="Y183" s="11">
        <v>12.3</v>
      </c>
      <c r="Z183" s="21">
        <v>-0.28228724247141301</v>
      </c>
      <c r="AF183" s="21">
        <v>-0.28228724247141301</v>
      </c>
    </row>
    <row r="184" spans="11:32" x14ac:dyDescent="0.25">
      <c r="L184">
        <f t="shared" si="13"/>
        <v>2</v>
      </c>
      <c r="M184" s="9">
        <v>0.13</v>
      </c>
      <c r="N184" s="4">
        <v>0.12673090934753417</v>
      </c>
      <c r="O184" s="4">
        <v>0.12696567535400391</v>
      </c>
      <c r="P184" s="4">
        <v>0.12261637687683105</v>
      </c>
      <c r="Q184" s="4">
        <v>0.12999464035034181</v>
      </c>
      <c r="R184" s="4">
        <v>0.12734694480895997</v>
      </c>
      <c r="S184" s="4" t="s">
        <v>47</v>
      </c>
      <c r="T184" s="23" t="s">
        <v>47</v>
      </c>
      <c r="W184" s="10">
        <v>9.2793971203718399</v>
      </c>
      <c r="X184" s="5">
        <v>8.4605165930372692</v>
      </c>
      <c r="Y184" s="11">
        <v>12</v>
      </c>
      <c r="Z184" s="21">
        <v>-0.23883047132336499</v>
      </c>
      <c r="AF184" s="21">
        <v>-0.23883047132336499</v>
      </c>
    </row>
    <row r="185" spans="11:32" x14ac:dyDescent="0.25">
      <c r="L185">
        <f t="shared" si="13"/>
        <v>3</v>
      </c>
      <c r="M185" s="9">
        <v>0.13</v>
      </c>
      <c r="N185" s="4">
        <v>0.12674837112426757</v>
      </c>
      <c r="O185" s="4">
        <v>0.12814013481140138</v>
      </c>
      <c r="P185" s="4">
        <v>0.1226283073425293</v>
      </c>
      <c r="Q185" s="4">
        <v>0.12999464035034181</v>
      </c>
      <c r="R185" s="4">
        <v>0.12623039245605469</v>
      </c>
      <c r="S185" s="4" t="s">
        <v>47</v>
      </c>
      <c r="T185" s="23" t="s">
        <v>47</v>
      </c>
      <c r="W185" s="10">
        <v>9.2549352921328136</v>
      </c>
      <c r="X185" s="5">
        <v>8.8189615878457204</v>
      </c>
      <c r="Y185" s="11">
        <v>11.9</v>
      </c>
      <c r="Z185" s="21">
        <v>-0.37287108677354902</v>
      </c>
      <c r="AF185" s="21">
        <v>-0.37287108677354902</v>
      </c>
    </row>
    <row r="186" spans="11:32" x14ac:dyDescent="0.25">
      <c r="L186">
        <f t="shared" si="13"/>
        <v>4</v>
      </c>
      <c r="M186" s="9">
        <v>0.13</v>
      </c>
      <c r="N186" s="4">
        <v>0.12697818756103516</v>
      </c>
      <c r="O186" s="4">
        <v>0.12961039543151856</v>
      </c>
      <c r="P186" s="4">
        <v>0.12262703895568848</v>
      </c>
      <c r="Q186" s="4">
        <v>0.12999464035034181</v>
      </c>
      <c r="R186" s="4">
        <v>0.12568069458007813</v>
      </c>
      <c r="S186" s="4" t="s">
        <v>47</v>
      </c>
      <c r="T186" s="23" t="s">
        <v>47</v>
      </c>
      <c r="W186" s="10">
        <v>9.1585814958661018</v>
      </c>
      <c r="X186" s="5">
        <v>8.777588946669141</v>
      </c>
      <c r="Y186" s="11">
        <v>11</v>
      </c>
      <c r="Z186" s="21">
        <v>-0.26087847919709001</v>
      </c>
      <c r="AF186" s="21">
        <v>-0.26087847919709001</v>
      </c>
    </row>
    <row r="187" spans="11:32" x14ac:dyDescent="0.25">
      <c r="L187">
        <f t="shared" si="13"/>
        <v>5</v>
      </c>
      <c r="M187" s="9">
        <v>0.13</v>
      </c>
      <c r="N187" s="4">
        <v>0.12671331405639649</v>
      </c>
      <c r="O187" s="4">
        <v>0.12854276657104491</v>
      </c>
      <c r="P187" s="4">
        <v>0.12261173248291016</v>
      </c>
      <c r="Q187" s="4">
        <v>0.12999464035034181</v>
      </c>
      <c r="R187" s="4">
        <v>0.12570411682128907</v>
      </c>
      <c r="S187" s="4" t="s">
        <v>47</v>
      </c>
      <c r="T187" s="23" t="s">
        <v>47</v>
      </c>
      <c r="W187" s="10">
        <v>7.9711587130033195</v>
      </c>
      <c r="X187" s="5">
        <v>7.5336130904910732</v>
      </c>
      <c r="Y187" s="11">
        <v>10.199999999999999</v>
      </c>
      <c r="Z187" s="21">
        <v>-0.153336454867357</v>
      </c>
      <c r="AF187" s="21">
        <v>-0.153336454867357</v>
      </c>
    </row>
    <row r="188" spans="11:32" x14ac:dyDescent="0.25">
      <c r="L188">
        <f t="shared" si="13"/>
        <v>6</v>
      </c>
      <c r="M188" s="9">
        <v>0.13</v>
      </c>
      <c r="N188" s="4">
        <v>0.12630004882812501</v>
      </c>
      <c r="O188" s="4">
        <v>0.12635817527770996</v>
      </c>
      <c r="P188" s="4">
        <v>0.12258160591125489</v>
      </c>
      <c r="Q188" s="4">
        <v>0.12999464035034181</v>
      </c>
      <c r="R188" s="4">
        <v>0.12626578330993651</v>
      </c>
      <c r="S188" s="4" t="s">
        <v>47</v>
      </c>
      <c r="T188" s="23" t="s">
        <v>47</v>
      </c>
      <c r="W188" s="10">
        <v>7.344322420685387</v>
      </c>
      <c r="X188" s="5">
        <v>7.1460346786134323</v>
      </c>
      <c r="Y188" s="11">
        <v>9.6</v>
      </c>
      <c r="Z188" s="21">
        <v>-8.5713485205456005E-2</v>
      </c>
      <c r="AF188" s="21">
        <v>-8.5713485205456005E-2</v>
      </c>
    </row>
    <row r="189" spans="11:32" x14ac:dyDescent="0.25">
      <c r="L189">
        <f t="shared" si="13"/>
        <v>7</v>
      </c>
      <c r="M189" s="9">
        <v>0.13</v>
      </c>
      <c r="N189" s="4">
        <v>0.12666969299316405</v>
      </c>
      <c r="O189" s="4">
        <v>0.12685871124267578</v>
      </c>
      <c r="P189" s="4">
        <v>0.12253592491149902</v>
      </c>
      <c r="Q189" s="4">
        <v>0.12999464035034181</v>
      </c>
      <c r="R189" s="4">
        <v>0.1272894859313965</v>
      </c>
      <c r="S189" s="4" t="s">
        <v>47</v>
      </c>
      <c r="T189" s="23" t="s">
        <v>47</v>
      </c>
      <c r="W189" s="10">
        <v>6.8943040467628549</v>
      </c>
      <c r="X189" s="5">
        <v>6.6349738893570276</v>
      </c>
      <c r="Y189" s="11">
        <v>7.3</v>
      </c>
      <c r="Z189" s="21">
        <v>-0.13190566691776601</v>
      </c>
      <c r="AF189" s="21">
        <v>-0.13190566691776601</v>
      </c>
    </row>
    <row r="190" spans="11:32" x14ac:dyDescent="0.25">
      <c r="L190">
        <f t="shared" si="13"/>
        <v>8</v>
      </c>
      <c r="M190" s="9">
        <v>0.13</v>
      </c>
      <c r="N190" s="4">
        <v>0.12621007919311522</v>
      </c>
      <c r="O190" s="4">
        <v>0.1237106704711914</v>
      </c>
      <c r="P190" s="4">
        <v>0.1224740219116211</v>
      </c>
      <c r="Q190" s="4">
        <v>0.12999464035034181</v>
      </c>
      <c r="R190" s="4">
        <v>0.1286609649658203</v>
      </c>
      <c r="S190" s="4" t="s">
        <v>47</v>
      </c>
      <c r="T190" s="23" t="s">
        <v>47</v>
      </c>
      <c r="W190" s="10">
        <v>6.5628083139121429</v>
      </c>
      <c r="X190" s="5">
        <v>5.9374275324577184</v>
      </c>
      <c r="Y190" s="11">
        <v>7.2</v>
      </c>
      <c r="Z190" s="21">
        <v>-0.247442911737456</v>
      </c>
      <c r="AF190" s="21">
        <v>-0.247442911737456</v>
      </c>
    </row>
    <row r="191" spans="11:32" x14ac:dyDescent="0.25">
      <c r="L191">
        <f t="shared" si="13"/>
        <v>9</v>
      </c>
      <c r="M191" s="9">
        <v>0.13</v>
      </c>
      <c r="N191" s="4">
        <v>0.12632083892822266</v>
      </c>
      <c r="O191" s="4">
        <v>0.12265894889831543</v>
      </c>
      <c r="P191" s="4">
        <v>0.12239526748657227</v>
      </c>
      <c r="Q191" s="4">
        <v>0.12999464035034181</v>
      </c>
      <c r="R191" s="4">
        <v>0.1302345085144043</v>
      </c>
      <c r="S191" s="4" t="s">
        <v>47</v>
      </c>
      <c r="T191" s="23" t="s">
        <v>47</v>
      </c>
      <c r="W191" s="10">
        <v>4.9309823887764139</v>
      </c>
      <c r="X191" s="5">
        <v>3.9411788659872258</v>
      </c>
      <c r="Y191" s="11">
        <v>6.1</v>
      </c>
      <c r="Z191" s="21">
        <v>-0.21654899891038501</v>
      </c>
      <c r="AF191" s="21">
        <v>-0.21654899891038501</v>
      </c>
    </row>
    <row r="192" spans="11:32" x14ac:dyDescent="0.25">
      <c r="L192">
        <f t="shared" si="13"/>
        <v>10</v>
      </c>
      <c r="M192" s="9">
        <v>0.13</v>
      </c>
      <c r="N192" s="4">
        <v>0.12703989028930665</v>
      </c>
      <c r="O192" s="4">
        <v>0.12402300834655762</v>
      </c>
      <c r="P192" s="4">
        <v>0.12229912757873534</v>
      </c>
      <c r="Q192" s="4">
        <v>0.12999464035034181</v>
      </c>
      <c r="R192" s="4">
        <v>0.13184277534484865</v>
      </c>
      <c r="S192" s="4" t="s">
        <v>47</v>
      </c>
      <c r="T192" s="23" t="s">
        <v>47</v>
      </c>
      <c r="W192" s="10">
        <v>3.4465256883227653</v>
      </c>
      <c r="X192" s="5">
        <v>1.9211998725957926</v>
      </c>
      <c r="Y192" s="11">
        <v>4.8</v>
      </c>
      <c r="Z192" s="21">
        <v>-0.13050219849166</v>
      </c>
      <c r="AF192" s="21">
        <v>-0.13050219849166</v>
      </c>
    </row>
    <row r="193" spans="11:32" x14ac:dyDescent="0.25">
      <c r="L193">
        <f t="shared" si="13"/>
        <v>11</v>
      </c>
      <c r="M193" s="9">
        <v>0.13</v>
      </c>
      <c r="N193" s="4">
        <v>0.1270458221435547</v>
      </c>
      <c r="O193" s="4">
        <v>0.12269463539123535</v>
      </c>
      <c r="P193" s="4">
        <v>0.12218507766723632</v>
      </c>
      <c r="Q193" s="4">
        <v>0.12999464035034181</v>
      </c>
      <c r="R193" s="4">
        <v>0.13330895423889161</v>
      </c>
      <c r="S193" s="4" t="s">
        <v>47</v>
      </c>
      <c r="T193" s="23" t="s">
        <v>47</v>
      </c>
      <c r="W193" s="10">
        <v>2.9492658994636258</v>
      </c>
      <c r="X193" s="5">
        <v>1.8992082680405957</v>
      </c>
      <c r="Y193" s="11">
        <v>5.3</v>
      </c>
      <c r="Z193" s="21">
        <v>-0.205962208559859</v>
      </c>
      <c r="AF193" s="21">
        <v>-0.205962208559859</v>
      </c>
    </row>
    <row r="194" spans="11:32" x14ac:dyDescent="0.25">
      <c r="L194">
        <f t="shared" si="13"/>
        <v>12</v>
      </c>
      <c r="M194" s="9">
        <v>0.13</v>
      </c>
      <c r="N194" s="4">
        <v>0.12707426071166991</v>
      </c>
      <c r="O194" s="4">
        <v>0.12178919792175293</v>
      </c>
      <c r="P194" s="4">
        <v>0.12205269813537598</v>
      </c>
      <c r="Q194" s="4">
        <v>0.12999464035034181</v>
      </c>
      <c r="R194" s="4">
        <v>0.13446048736572266</v>
      </c>
      <c r="S194" s="4" t="s">
        <v>47</v>
      </c>
      <c r="T194" s="23" t="s">
        <v>47</v>
      </c>
      <c r="W194" s="10">
        <v>1.8927465927795026</v>
      </c>
      <c r="X194" s="5">
        <v>1.1292613566066194</v>
      </c>
      <c r="Y194" s="11">
        <v>4.8</v>
      </c>
      <c r="Z194" s="21">
        <v>-0.193307773496077</v>
      </c>
      <c r="AF194" s="21">
        <v>-0.193307773496077</v>
      </c>
    </row>
    <row r="195" spans="11:32" x14ac:dyDescent="0.25">
      <c r="K195">
        <f t="shared" ref="K195" si="18">K183+1</f>
        <v>2016</v>
      </c>
      <c r="L195">
        <f t="shared" si="13"/>
        <v>1</v>
      </c>
      <c r="M195" s="9">
        <v>0.12</v>
      </c>
      <c r="N195" s="4">
        <v>0.11935073852539063</v>
      </c>
      <c r="O195" s="4">
        <v>0.11067319869995117</v>
      </c>
      <c r="P195" s="4">
        <v>0.12190159797668457</v>
      </c>
      <c r="Q195" s="4">
        <v>0.11968501091003418</v>
      </c>
      <c r="R195" s="4">
        <v>0.12514312744140624</v>
      </c>
      <c r="S195" s="4" t="s">
        <v>47</v>
      </c>
      <c r="T195" s="23" t="s">
        <v>47</v>
      </c>
      <c r="W195" s="10"/>
      <c r="X195" s="5">
        <v>1.0437075087505718</v>
      </c>
      <c r="Y195" s="11">
        <v>4</v>
      </c>
      <c r="Z195" s="21">
        <v>-0.202688060578921</v>
      </c>
      <c r="AF195" s="21">
        <v>-0.202688060578921</v>
      </c>
    </row>
    <row r="196" spans="11:32" x14ac:dyDescent="0.25">
      <c r="L196">
        <f t="shared" si="13"/>
        <v>2</v>
      </c>
      <c r="M196" s="9">
        <v>0.12</v>
      </c>
      <c r="N196" s="4">
        <v>0.11966058731079102</v>
      </c>
      <c r="O196" s="4">
        <v>0.11168197631835937</v>
      </c>
      <c r="P196" s="4">
        <v>0.12173147201538086</v>
      </c>
      <c r="Q196" s="4">
        <v>0.1199946403503418</v>
      </c>
      <c r="R196" s="4">
        <v>0.1252342414855957</v>
      </c>
      <c r="S196" s="4" t="s">
        <v>47</v>
      </c>
      <c r="T196" s="23" t="s">
        <v>47</v>
      </c>
      <c r="W196" s="10"/>
      <c r="X196" s="5">
        <v>1.6276443703437593</v>
      </c>
      <c r="Y196" s="11">
        <v>3.5333019887087005</v>
      </c>
      <c r="Z196" s="21">
        <v>-0.186186512845401</v>
      </c>
      <c r="AF196" s="21">
        <v>-0.186186512845401</v>
      </c>
    </row>
    <row r="197" spans="11:32" x14ac:dyDescent="0.25">
      <c r="L197">
        <f t="shared" si="13"/>
        <v>3</v>
      </c>
      <c r="M197" s="9">
        <v>0.12</v>
      </c>
      <c r="N197" s="4">
        <v>0.12010360717773437</v>
      </c>
      <c r="O197" s="4">
        <v>0.11422384262084961</v>
      </c>
      <c r="P197" s="4">
        <v>0.12154196739196778</v>
      </c>
      <c r="Q197" s="4">
        <v>0.1199946403503418</v>
      </c>
      <c r="R197" s="4">
        <v>0.12465397834777832</v>
      </c>
      <c r="S197" s="4" t="s">
        <v>47</v>
      </c>
      <c r="T197" s="23" t="s">
        <v>47</v>
      </c>
      <c r="W197" s="10"/>
      <c r="X197" s="5">
        <v>1.1417602665081148</v>
      </c>
      <c r="Y197" s="11">
        <v>3.0678414282266147</v>
      </c>
      <c r="Z197" s="21">
        <v>-2.1065397333684899E-2</v>
      </c>
      <c r="AF197" s="21">
        <v>-2.1065397333684899E-2</v>
      </c>
    </row>
    <row r="198" spans="11:32" x14ac:dyDescent="0.25">
      <c r="L198">
        <f t="shared" si="13"/>
        <v>4</v>
      </c>
      <c r="M198" s="9">
        <v>0.12</v>
      </c>
      <c r="N198" s="4">
        <v>0.11958306312561034</v>
      </c>
      <c r="O198" s="4">
        <v>0.11363134384155274</v>
      </c>
      <c r="P198" s="4">
        <v>0.1213327693939209</v>
      </c>
      <c r="Q198" s="4">
        <v>0.1199946403503418</v>
      </c>
      <c r="R198" s="4">
        <v>0.12337350845336914</v>
      </c>
      <c r="S198" s="4" t="s">
        <v>47</v>
      </c>
      <c r="T198" s="23" t="s">
        <v>47</v>
      </c>
      <c r="W198" s="10"/>
      <c r="X198" s="5">
        <v>1.8522933832976491</v>
      </c>
      <c r="Y198" s="11">
        <v>3.2454711576403241</v>
      </c>
      <c r="Z198" s="21">
        <v>1.6328590490136699E-2</v>
      </c>
      <c r="AF198" s="21">
        <v>1.6328590490136699E-2</v>
      </c>
    </row>
    <row r="199" spans="11:32" x14ac:dyDescent="0.25">
      <c r="L199">
        <f t="shared" si="13"/>
        <v>5</v>
      </c>
      <c r="M199" s="9">
        <v>0.105</v>
      </c>
      <c r="N199" s="4">
        <v>0.1076917839050293</v>
      </c>
      <c r="O199" s="4">
        <v>9.871423721313477E-2</v>
      </c>
      <c r="P199" s="4">
        <v>0.12110348701477051</v>
      </c>
      <c r="Q199" s="4">
        <v>0.10453020095825195</v>
      </c>
      <c r="R199" s="4">
        <v>0.10641920089721679</v>
      </c>
      <c r="S199" s="4" t="s">
        <v>47</v>
      </c>
      <c r="T199" s="23" t="s">
        <v>47</v>
      </c>
      <c r="W199" s="10"/>
      <c r="X199" s="5">
        <v>1.8435882505023784</v>
      </c>
      <c r="Y199" s="11">
        <v>3.1071630341899237</v>
      </c>
      <c r="Z199" s="21">
        <v>3.0974794890943199E-3</v>
      </c>
      <c r="AF199" s="21">
        <v>3.0974794890943199E-3</v>
      </c>
    </row>
    <row r="200" spans="11:32" x14ac:dyDescent="0.25">
      <c r="L200">
        <f t="shared" si="13"/>
        <v>6</v>
      </c>
      <c r="M200" s="9">
        <v>0.105</v>
      </c>
      <c r="N200" s="4">
        <v>0.10688986778259277</v>
      </c>
      <c r="O200" s="4">
        <v>9.783853530883789E-2</v>
      </c>
      <c r="P200" s="4">
        <v>0.12085377693176269</v>
      </c>
      <c r="Q200" s="4">
        <v>0.1049946403503418</v>
      </c>
      <c r="R200" s="4">
        <v>0.10387250900268555</v>
      </c>
      <c r="S200" s="4" t="s">
        <v>47</v>
      </c>
      <c r="T200" s="23" t="s">
        <v>47</v>
      </c>
      <c r="W200" s="10"/>
      <c r="X200" s="5">
        <v>1.1902353586088736</v>
      </c>
      <c r="Y200" s="11">
        <v>3</v>
      </c>
      <c r="Z200" s="21">
        <v>-1.7693150901754301E-2</v>
      </c>
      <c r="AF200" s="21">
        <v>-1.7693150901754301E-2</v>
      </c>
    </row>
    <row r="201" spans="11:32" x14ac:dyDescent="0.25">
      <c r="L201">
        <f t="shared" si="13"/>
        <v>7</v>
      </c>
      <c r="M201" s="9">
        <v>0.105</v>
      </c>
      <c r="N201" s="4">
        <v>0.10639348983764649</v>
      </c>
      <c r="O201" s="4">
        <v>9.9130830764770514E-2</v>
      </c>
      <c r="P201" s="4">
        <v>0.12058314323425293</v>
      </c>
      <c r="Q201" s="4">
        <v>0.1049946403503418</v>
      </c>
      <c r="R201" s="4">
        <v>0.10086532592773438</v>
      </c>
      <c r="S201" s="4" t="s">
        <v>47</v>
      </c>
      <c r="T201" s="23" t="s">
        <v>47</v>
      </c>
      <c r="W201" s="10"/>
      <c r="X201" s="5">
        <v>6.0182388571774936E-2</v>
      </c>
      <c r="Y201" s="11">
        <v>2.8601807801490793</v>
      </c>
      <c r="Z201" s="21">
        <v>2.8920233879426101E-2</v>
      </c>
      <c r="AF201" s="21">
        <v>2.8920233879426101E-2</v>
      </c>
    </row>
    <row r="202" spans="11:32" x14ac:dyDescent="0.25">
      <c r="L202">
        <f t="shared" si="13"/>
        <v>8</v>
      </c>
      <c r="M202" s="9">
        <v>0.15</v>
      </c>
      <c r="N202" s="4">
        <v>0.14082497596740723</v>
      </c>
      <c r="O202" s="4">
        <v>0.14904990196228027</v>
      </c>
      <c r="P202" s="4">
        <v>0.12029096603393555</v>
      </c>
      <c r="Q202" s="4">
        <v>0.1513879680633545</v>
      </c>
      <c r="R202" s="4">
        <v>0.1425710678100586</v>
      </c>
      <c r="S202" s="4" t="s">
        <v>47</v>
      </c>
      <c r="T202" s="23">
        <v>0.16</v>
      </c>
      <c r="W202" s="10"/>
      <c r="X202" s="5">
        <v>-0.63760442493017422</v>
      </c>
      <c r="Y202" s="11">
        <v>0.79985911970089774</v>
      </c>
      <c r="Z202" s="21">
        <v>0.18528377767030799</v>
      </c>
      <c r="AF202" s="21">
        <v>0.18528377767030799</v>
      </c>
    </row>
    <row r="203" spans="11:32" x14ac:dyDescent="0.25">
      <c r="L203">
        <f t="shared" si="13"/>
        <v>9</v>
      </c>
      <c r="M203" s="9">
        <v>0.15</v>
      </c>
      <c r="N203" s="4">
        <v>0.14003025054931639</v>
      </c>
      <c r="O203" s="4">
        <v>0.15095751762390136</v>
      </c>
      <c r="P203" s="4">
        <v>0.11997651100158692</v>
      </c>
      <c r="Q203" s="4">
        <v>0.1499946403503418</v>
      </c>
      <c r="R203" s="4">
        <v>0.13919231414794922</v>
      </c>
      <c r="S203" s="4" t="s">
        <v>47</v>
      </c>
      <c r="T203" s="23">
        <v>0.16</v>
      </c>
      <c r="W203" s="10"/>
      <c r="X203" s="5">
        <v>-0.67445978887916169</v>
      </c>
      <c r="Y203" s="11">
        <v>0.79985911970089774</v>
      </c>
      <c r="Z203" s="21">
        <v>0.143815083413662</v>
      </c>
      <c r="AF203" s="21">
        <v>0.143815083413662</v>
      </c>
    </row>
    <row r="204" spans="11:32" x14ac:dyDescent="0.25">
      <c r="L204">
        <f t="shared" si="13"/>
        <v>10</v>
      </c>
      <c r="M204" s="9">
        <v>0.15</v>
      </c>
      <c r="N204" s="4">
        <v>0.13951690673828124</v>
      </c>
      <c r="O204" s="4">
        <v>0.15248797416687013</v>
      </c>
      <c r="P204" s="4">
        <v>0.11963927268981933</v>
      </c>
      <c r="Q204" s="4">
        <v>0.1499946403503418</v>
      </c>
      <c r="R204" s="4">
        <v>0.13594572067260743</v>
      </c>
      <c r="S204" s="4" t="s">
        <v>47</v>
      </c>
      <c r="T204" s="23">
        <v>0.16</v>
      </c>
      <c r="W204" s="10"/>
      <c r="X204" s="5">
        <v>-0.75728497277076201</v>
      </c>
      <c r="Y204" s="11">
        <v>0.37154282590343257</v>
      </c>
      <c r="Z204" s="21">
        <v>0.30410812617906302</v>
      </c>
      <c r="AF204" s="21">
        <v>0.30410812617906302</v>
      </c>
    </row>
    <row r="205" spans="11:32" x14ac:dyDescent="0.25">
      <c r="L205">
        <f t="shared" si="13"/>
        <v>11</v>
      </c>
      <c r="M205" s="9">
        <v>0.15</v>
      </c>
      <c r="N205" s="4">
        <v>0.13939733505249025</v>
      </c>
      <c r="O205" s="4">
        <v>0.15527000427246093</v>
      </c>
      <c r="P205" s="4">
        <v>0.11927897453308106</v>
      </c>
      <c r="Q205" s="4">
        <v>0.1499946403503418</v>
      </c>
      <c r="R205" s="4">
        <v>0.13304573059082031</v>
      </c>
      <c r="S205" s="4" t="s">
        <v>47</v>
      </c>
      <c r="T205" s="23">
        <v>0.16</v>
      </c>
      <c r="W205" s="10"/>
      <c r="X205" s="5">
        <v>-0.64295965566248015</v>
      </c>
      <c r="Y205" s="11">
        <v>0.11928547330903427</v>
      </c>
      <c r="Z205" s="21">
        <v>0.41276935346799398</v>
      </c>
      <c r="AF205" s="21">
        <v>0.41276935346799398</v>
      </c>
    </row>
    <row r="206" spans="11:32" x14ac:dyDescent="0.25">
      <c r="L206">
        <f t="shared" si="13"/>
        <v>12</v>
      </c>
      <c r="M206" s="9">
        <v>0.14000000000000001</v>
      </c>
      <c r="N206" s="4">
        <v>0.13135412216186523</v>
      </c>
      <c r="O206" s="4">
        <v>0.14614764213562012</v>
      </c>
      <c r="P206" s="4">
        <v>0.11889558792114258</v>
      </c>
      <c r="Q206" s="4">
        <v>0.13968501091003419</v>
      </c>
      <c r="R206" s="4">
        <v>0.12068825721740722</v>
      </c>
      <c r="S206" s="4" t="s">
        <v>47</v>
      </c>
      <c r="T206" s="23">
        <v>0.16</v>
      </c>
      <c r="W206" s="10"/>
      <c r="X206" s="5">
        <v>0.48537935807344468</v>
      </c>
      <c r="Y206" s="11">
        <v>0.50143805372989902</v>
      </c>
      <c r="Z206" s="21">
        <v>0.32123640539584503</v>
      </c>
      <c r="AF206" s="21">
        <v>0.32123640539584503</v>
      </c>
    </row>
    <row r="207" spans="11:32" x14ac:dyDescent="0.25">
      <c r="K207">
        <f t="shared" ref="K207" si="19">K195+1</f>
        <v>2017</v>
      </c>
      <c r="L207">
        <f t="shared" si="13"/>
        <v>1</v>
      </c>
      <c r="M207" s="9">
        <v>0.14000000000000001</v>
      </c>
      <c r="N207" s="4">
        <v>0.13107791900634766</v>
      </c>
      <c r="O207" s="4">
        <v>0.14679202079772949</v>
      </c>
      <c r="P207" s="4">
        <v>0.11848930358886718</v>
      </c>
      <c r="Q207" s="4">
        <v>0.13999464035034179</v>
      </c>
      <c r="R207" s="4">
        <v>0.11903569221496582</v>
      </c>
      <c r="S207" s="4" t="s">
        <v>47</v>
      </c>
      <c r="T207" s="23">
        <v>0.16</v>
      </c>
      <c r="W207" s="10">
        <v>2.096915099568136</v>
      </c>
      <c r="X207" s="5">
        <v>1.7340436536796489</v>
      </c>
      <c r="Y207" s="11">
        <v>-0.10212797053604561</v>
      </c>
      <c r="Z207" s="21">
        <v>0.32025401285682598</v>
      </c>
      <c r="AF207" s="21">
        <v>0.32025401285682598</v>
      </c>
    </row>
    <row r="208" spans="11:32" x14ac:dyDescent="0.25">
      <c r="L208">
        <f t="shared" ref="L208:L271" si="20">L196</f>
        <v>2</v>
      </c>
      <c r="M208" s="9">
        <v>0.14000000000000001</v>
      </c>
      <c r="N208" s="4">
        <v>0.13065512657165526</v>
      </c>
      <c r="O208" s="4">
        <v>0.14636075019836425</v>
      </c>
      <c r="P208" s="4">
        <v>0.11806048393249512</v>
      </c>
      <c r="Q208" s="4">
        <v>0.13999464035034179</v>
      </c>
      <c r="R208" s="4">
        <v>0.11820464134216309</v>
      </c>
      <c r="S208" s="4" t="s">
        <v>47</v>
      </c>
      <c r="T208" s="23">
        <v>0.16</v>
      </c>
      <c r="W208" s="10">
        <v>2.4095901726494589</v>
      </c>
      <c r="X208" s="5">
        <v>1.8098960597539673</v>
      </c>
      <c r="Y208" s="11">
        <v>2.0856663393054902</v>
      </c>
      <c r="Z208" s="21">
        <v>0.37052158095358301</v>
      </c>
      <c r="AF208" s="21">
        <v>0.37052158095358301</v>
      </c>
    </row>
    <row r="209" spans="11:32" x14ac:dyDescent="0.25">
      <c r="L209">
        <f t="shared" si="20"/>
        <v>3</v>
      </c>
      <c r="M209" s="9">
        <v>0.14000000000000001</v>
      </c>
      <c r="N209" s="4">
        <v>0.13018197059631348</v>
      </c>
      <c r="O209" s="4">
        <v>0.14486647605895997</v>
      </c>
      <c r="P209" s="4">
        <v>0.11760964393615722</v>
      </c>
      <c r="Q209" s="4">
        <v>0.13999464035034179</v>
      </c>
      <c r="R209" s="4">
        <v>0.11825713157653808</v>
      </c>
      <c r="S209" s="4" t="s">
        <v>47</v>
      </c>
      <c r="T209" s="23">
        <v>0.16</v>
      </c>
      <c r="W209" s="10">
        <v>3.1392089997480781</v>
      </c>
      <c r="X209" s="5">
        <v>2.9900489882909795</v>
      </c>
      <c r="Y209" s="11">
        <v>2.8309861677497139</v>
      </c>
      <c r="Z209" s="21">
        <v>0.19156607055230701</v>
      </c>
      <c r="AF209" s="21">
        <v>0.19156607055230701</v>
      </c>
    </row>
    <row r="210" spans="11:32" x14ac:dyDescent="0.25">
      <c r="L210">
        <f t="shared" si="20"/>
        <v>4</v>
      </c>
      <c r="M210" s="9">
        <v>0.14000000000000001</v>
      </c>
      <c r="N210" s="4">
        <v>0.12988399505615233</v>
      </c>
      <c r="O210" s="4">
        <v>0.14320751190185546</v>
      </c>
      <c r="P210" s="4">
        <v>0.11713749885559083</v>
      </c>
      <c r="Q210" s="4">
        <v>0.13999464035034179</v>
      </c>
      <c r="R210" s="4">
        <v>0.11919631958007812</v>
      </c>
      <c r="S210" s="4" t="s">
        <v>47</v>
      </c>
      <c r="T210" s="23">
        <v>0.16</v>
      </c>
      <c r="W210" s="10">
        <v>3.250962190868222</v>
      </c>
      <c r="X210" s="5">
        <v>3.2294828047662349</v>
      </c>
      <c r="Y210" s="11">
        <v>3.9010550154171568</v>
      </c>
      <c r="Z210" s="21">
        <v>7.9259580901369003E-2</v>
      </c>
      <c r="AF210" s="21">
        <v>7.9259580901369003E-2</v>
      </c>
    </row>
    <row r="211" spans="11:32" x14ac:dyDescent="0.25">
      <c r="L211">
        <f t="shared" si="20"/>
        <v>5</v>
      </c>
      <c r="M211" s="9">
        <v>0.14000000000000001</v>
      </c>
      <c r="N211" s="4">
        <v>0.13022585868835448</v>
      </c>
      <c r="O211" s="4">
        <v>0.14329723358154298</v>
      </c>
      <c r="P211" s="4">
        <v>0.11664490699768067</v>
      </c>
      <c r="Q211" s="4">
        <v>0.13999464035034179</v>
      </c>
      <c r="R211" s="4">
        <v>0.12096664428710938</v>
      </c>
      <c r="S211" s="4" t="s">
        <v>47</v>
      </c>
      <c r="T211" s="23">
        <v>0.16</v>
      </c>
      <c r="W211" s="10">
        <v>3.6532076469766679</v>
      </c>
      <c r="X211" s="5">
        <v>3.8397964095146904</v>
      </c>
      <c r="Y211" s="11">
        <v>4.4840550131980734</v>
      </c>
      <c r="Z211" s="21">
        <v>-8.5043447630165896E-3</v>
      </c>
      <c r="AF211" s="21">
        <v>-8.5043447630165896E-3</v>
      </c>
    </row>
    <row r="212" spans="11:32" x14ac:dyDescent="0.25">
      <c r="L212">
        <f t="shared" si="20"/>
        <v>6</v>
      </c>
      <c r="M212" s="9">
        <v>0.12</v>
      </c>
      <c r="N212" s="4">
        <v>0.11556386947631836</v>
      </c>
      <c r="O212" s="4">
        <v>0.12328851699829102</v>
      </c>
      <c r="P212" s="4">
        <v>0.11613291740417481</v>
      </c>
      <c r="Q212" s="4">
        <v>0.11937538146972657</v>
      </c>
      <c r="R212" s="4">
        <v>0.10345864295959473</v>
      </c>
      <c r="S212" s="4" t="s">
        <v>47</v>
      </c>
      <c r="T212" s="23" t="s">
        <v>47</v>
      </c>
      <c r="W212" s="10">
        <v>3.4091486551016743</v>
      </c>
      <c r="X212" s="5">
        <v>3.5341620592451051</v>
      </c>
      <c r="Y212" s="11">
        <v>4.7328365767963874</v>
      </c>
      <c r="Z212" s="21">
        <v>1.3184770771840699E-2</v>
      </c>
      <c r="AF212" s="21">
        <v>1.3184770771840699E-2</v>
      </c>
    </row>
    <row r="213" spans="11:32" x14ac:dyDescent="0.25">
      <c r="L213">
        <f t="shared" si="20"/>
        <v>7</v>
      </c>
      <c r="M213" s="9">
        <v>0.12</v>
      </c>
      <c r="N213" s="4">
        <v>0.11653924942016601</v>
      </c>
      <c r="O213" s="4">
        <v>0.12404189109802247</v>
      </c>
      <c r="P213" s="4">
        <v>0.11560275077819825</v>
      </c>
      <c r="Q213" s="4">
        <v>0.1199946403503418</v>
      </c>
      <c r="R213" s="4">
        <v>0.1065177059173584</v>
      </c>
      <c r="S213" s="4" t="s">
        <v>47</v>
      </c>
      <c r="T213" s="23" t="s">
        <v>47</v>
      </c>
      <c r="W213" s="10">
        <v>3.3693785460553727</v>
      </c>
      <c r="X213" s="5">
        <v>3.3456207295756286</v>
      </c>
      <c r="Y213" s="11">
        <v>3.9583168512216815</v>
      </c>
      <c r="Z213" s="21">
        <v>2.1713030119877502E-2</v>
      </c>
      <c r="AF213" s="21">
        <v>2.1713030119877502E-2</v>
      </c>
    </row>
    <row r="214" spans="11:32" x14ac:dyDescent="0.25">
      <c r="L214">
        <f t="shared" si="20"/>
        <v>8</v>
      </c>
      <c r="M214" s="9">
        <v>0.12</v>
      </c>
      <c r="N214" s="4">
        <v>0.11745386123657227</v>
      </c>
      <c r="O214" s="4">
        <v>0.124808988571167</v>
      </c>
      <c r="P214" s="4">
        <v>0.11505565643310547</v>
      </c>
      <c r="Q214" s="4">
        <v>0.1199946403503418</v>
      </c>
      <c r="R214" s="4">
        <v>0.10995616912841796</v>
      </c>
      <c r="S214" s="4" t="s">
        <v>47</v>
      </c>
      <c r="T214" s="23" t="s">
        <v>47</v>
      </c>
      <c r="W214" s="10">
        <v>4.9816508562065565</v>
      </c>
      <c r="X214" s="5">
        <v>5.4329782659740857</v>
      </c>
      <c r="Y214" s="11">
        <v>5.0598138441923339</v>
      </c>
      <c r="Z214" s="21">
        <v>9.9301999929977E-2</v>
      </c>
      <c r="AF214" s="21">
        <v>9.9301999929977E-2</v>
      </c>
    </row>
    <row r="215" spans="11:32" x14ac:dyDescent="0.25">
      <c r="L215">
        <f t="shared" si="20"/>
        <v>9</v>
      </c>
      <c r="M215" s="9">
        <v>0.12</v>
      </c>
      <c r="N215" s="4">
        <v>0.1183164119720459</v>
      </c>
      <c r="O215" s="4">
        <v>0.12521059989929198</v>
      </c>
      <c r="P215" s="4">
        <v>0.11449293136596679</v>
      </c>
      <c r="Q215" s="4">
        <v>0.1199946403503418</v>
      </c>
      <c r="R215" s="4">
        <v>0.11356748580932617</v>
      </c>
      <c r="S215" s="4" t="s">
        <v>47</v>
      </c>
      <c r="T215" s="23" t="s">
        <v>47</v>
      </c>
      <c r="W215" s="10">
        <v>5.7847679830039453</v>
      </c>
      <c r="X215" s="5">
        <v>6.6495439388066018</v>
      </c>
      <c r="Y215" s="11">
        <v>5.8540377957083649</v>
      </c>
      <c r="Z215" s="21">
        <v>0.14496553334005199</v>
      </c>
      <c r="AF215" s="21">
        <v>0.14496553334005199</v>
      </c>
    </row>
    <row r="216" spans="11:32" x14ac:dyDescent="0.25">
      <c r="L216">
        <f t="shared" si="20"/>
        <v>10</v>
      </c>
      <c r="M216" s="9">
        <v>0.12</v>
      </c>
      <c r="N216" s="4">
        <v>0.11878730773925782</v>
      </c>
      <c r="O216" s="4">
        <v>0.12409733772277833</v>
      </c>
      <c r="P216" s="4">
        <v>0.1139159107208252</v>
      </c>
      <c r="Q216" s="4">
        <v>0.1199946403503418</v>
      </c>
      <c r="R216" s="4">
        <v>0.11714132308959961</v>
      </c>
      <c r="S216" s="4" t="s">
        <v>47</v>
      </c>
      <c r="T216" s="23" t="s">
        <v>47</v>
      </c>
      <c r="W216" s="10">
        <v>6.8665142058487163</v>
      </c>
      <c r="X216" s="5">
        <v>8.1928791199965616</v>
      </c>
      <c r="Y216" s="11">
        <v>7.3742322042998438</v>
      </c>
      <c r="Z216" s="21">
        <v>2.93917326893419E-2</v>
      </c>
      <c r="AF216" s="21">
        <v>2.93917326893419E-2</v>
      </c>
    </row>
    <row r="217" spans="11:32" x14ac:dyDescent="0.25">
      <c r="L217">
        <f t="shared" si="20"/>
        <v>11</v>
      </c>
      <c r="M217" s="9">
        <v>0.12</v>
      </c>
      <c r="N217" s="4">
        <v>0.11930932998657226</v>
      </c>
      <c r="O217" s="4">
        <v>0.12343839645385742</v>
      </c>
      <c r="P217" s="4">
        <v>0.11332594871520996</v>
      </c>
      <c r="Q217" s="4">
        <v>0.1199946403503418</v>
      </c>
      <c r="R217" s="4">
        <v>0.12047834396362304</v>
      </c>
      <c r="S217" s="4" t="s">
        <v>47</v>
      </c>
      <c r="T217" s="23" t="s">
        <v>47</v>
      </c>
      <c r="W217" s="10">
        <v>6.4529764855533074</v>
      </c>
      <c r="X217" s="5">
        <v>7.6138143140258876</v>
      </c>
      <c r="Y217" s="11">
        <v>6.8720022440783595</v>
      </c>
      <c r="Z217" s="21">
        <v>2.1906497856519599E-2</v>
      </c>
      <c r="AF217" s="21">
        <v>2.1906497856519599E-2</v>
      </c>
    </row>
    <row r="218" spans="11:32" x14ac:dyDescent="0.25">
      <c r="L218">
        <f t="shared" si="20"/>
        <v>12</v>
      </c>
      <c r="M218" s="9">
        <v>0.11</v>
      </c>
      <c r="N218" s="4">
        <v>0.1121932601928711</v>
      </c>
      <c r="O218" s="4">
        <v>0.11296009063720704</v>
      </c>
      <c r="P218" s="4">
        <v>0.11272446632385254</v>
      </c>
      <c r="Q218" s="4">
        <v>0.10968501091003419</v>
      </c>
      <c r="R218" s="4">
        <v>0.1134034538269043</v>
      </c>
      <c r="S218" s="4" t="s">
        <v>47</v>
      </c>
      <c r="T218" s="23" t="s">
        <v>47</v>
      </c>
      <c r="W218" s="10">
        <v>6.4123855270447478</v>
      </c>
      <c r="X218" s="5">
        <v>7.2251293729168964</v>
      </c>
      <c r="Y218" s="11">
        <v>7.0467495997188934</v>
      </c>
      <c r="Z218" s="21">
        <v>6.3725904627557797E-2</v>
      </c>
      <c r="AF218" s="21">
        <v>6.3725904627557797E-2</v>
      </c>
    </row>
    <row r="219" spans="11:32" x14ac:dyDescent="0.25">
      <c r="K219">
        <f t="shared" ref="K219" si="21">K207+1</f>
        <v>2018</v>
      </c>
      <c r="L219">
        <f t="shared" si="20"/>
        <v>1</v>
      </c>
      <c r="M219" s="9">
        <v>0.11</v>
      </c>
      <c r="N219" s="4">
        <v>0.1129953384399414</v>
      </c>
      <c r="O219" s="4">
        <v>0.114097261428833</v>
      </c>
      <c r="P219" s="4">
        <v>0.11211294174194336</v>
      </c>
      <c r="Q219" s="4">
        <v>0.1099946403503418</v>
      </c>
      <c r="R219" s="4">
        <v>0.11577651023864746</v>
      </c>
      <c r="S219" s="4" t="s">
        <v>47</v>
      </c>
      <c r="T219" s="23" t="s">
        <v>47</v>
      </c>
      <c r="W219" s="10">
        <v>6.8517533318574806</v>
      </c>
      <c r="X219" s="5">
        <v>8.0258308565034326</v>
      </c>
      <c r="Y219" s="11">
        <v>8.816602377969744</v>
      </c>
      <c r="Z219" s="21">
        <v>9.0834044642492395E-2</v>
      </c>
      <c r="AF219" s="21">
        <v>9.0834044642492395E-2</v>
      </c>
    </row>
    <row r="220" spans="11:32" x14ac:dyDescent="0.25">
      <c r="L220">
        <f t="shared" si="20"/>
        <v>2</v>
      </c>
      <c r="M220" s="9">
        <v>0.11</v>
      </c>
      <c r="N220" s="4">
        <v>0.11324308395385742</v>
      </c>
      <c r="O220" s="4">
        <v>0.11398521423339844</v>
      </c>
      <c r="P220" s="4">
        <v>0.11149280548095702</v>
      </c>
      <c r="Q220" s="4">
        <v>0.1099946403503418</v>
      </c>
      <c r="R220" s="4">
        <v>0.11749969482421875</v>
      </c>
      <c r="S220" s="4" t="s">
        <v>47</v>
      </c>
      <c r="T220" s="23" t="s">
        <v>47</v>
      </c>
      <c r="W220" s="10">
        <v>6.910680477180307</v>
      </c>
      <c r="X220" s="5">
        <v>8.13589937323556</v>
      </c>
      <c r="Y220" s="11">
        <v>8.5568004999242078</v>
      </c>
      <c r="Z220" s="21">
        <v>8.31415316406659E-2</v>
      </c>
      <c r="AF220" s="21">
        <v>8.31415316406659E-2</v>
      </c>
    </row>
    <row r="221" spans="11:32" x14ac:dyDescent="0.25">
      <c r="L221">
        <f t="shared" si="20"/>
        <v>3</v>
      </c>
      <c r="M221" s="9">
        <v>0.1</v>
      </c>
      <c r="N221" s="4">
        <v>0.10550110816955566</v>
      </c>
      <c r="O221" s="4">
        <v>0.10293261528015137</v>
      </c>
      <c r="P221" s="4">
        <v>0.11086549758911132</v>
      </c>
      <c r="Q221" s="4">
        <v>9.9685010910034177E-2</v>
      </c>
      <c r="R221" s="4">
        <v>0.10852130889892578</v>
      </c>
      <c r="T221" s="23" t="s">
        <v>47</v>
      </c>
      <c r="W221" s="10">
        <v>6.6361196122739443</v>
      </c>
      <c r="X221" s="5">
        <v>7.6915677251460721</v>
      </c>
      <c r="Y221" s="11">
        <v>8.2368344585829902</v>
      </c>
      <c r="Z221" s="21">
        <v>2.2960441193459798E-2</v>
      </c>
      <c r="AF221" s="21">
        <v>2.2960441193459798E-2</v>
      </c>
    </row>
    <row r="222" spans="11:32" x14ac:dyDescent="0.25">
      <c r="L222">
        <f t="shared" si="20"/>
        <v>4</v>
      </c>
      <c r="M222" s="9">
        <v>0.1</v>
      </c>
      <c r="N222" s="4">
        <v>0.10528293609619141</v>
      </c>
      <c r="O222" s="4">
        <v>0.10206902503967286</v>
      </c>
      <c r="P222" s="4">
        <v>0.11023243904113769</v>
      </c>
      <c r="Q222" s="4">
        <v>9.9994640350341793E-2</v>
      </c>
      <c r="R222" s="4">
        <v>0.10883563041687011</v>
      </c>
      <c r="T222" s="23" t="s">
        <v>47</v>
      </c>
      <c r="W222" s="10">
        <v>6.0398873687199028</v>
      </c>
      <c r="X222" s="5">
        <v>6.6909736962180233</v>
      </c>
      <c r="Y222" s="11">
        <v>6.6867405878679591</v>
      </c>
      <c r="Z222" s="21">
        <v>3.1282373524043498E-2</v>
      </c>
      <c r="AF222" s="21">
        <v>3.1282373524043498E-2</v>
      </c>
    </row>
    <row r="223" spans="11:32" x14ac:dyDescent="0.25">
      <c r="L223">
        <f t="shared" si="20"/>
        <v>5</v>
      </c>
      <c r="M223" s="9">
        <v>0.1</v>
      </c>
      <c r="N223" s="4">
        <v>0.10479255676269532</v>
      </c>
      <c r="O223" s="4">
        <v>0.10110116004943848</v>
      </c>
      <c r="P223" s="4">
        <v>0.1095949649810791</v>
      </c>
      <c r="Q223" s="4">
        <v>9.9994640350341793E-2</v>
      </c>
      <c r="R223" s="4">
        <v>0.10847944259643555</v>
      </c>
      <c r="T223" s="23" t="s">
        <v>47</v>
      </c>
      <c r="W223" s="10">
        <v>6.1402705425187776</v>
      </c>
      <c r="X223" s="5">
        <v>6.5715156660060501</v>
      </c>
      <c r="Y223" s="11">
        <v>6.4267372173159316</v>
      </c>
      <c r="Z223" s="21">
        <v>0.108519352906833</v>
      </c>
      <c r="AF223" s="21">
        <v>0.108519352906833</v>
      </c>
    </row>
    <row r="224" spans="11:32" x14ac:dyDescent="0.25">
      <c r="L224">
        <f t="shared" si="20"/>
        <v>6</v>
      </c>
      <c r="M224" s="9">
        <v>0.1</v>
      </c>
      <c r="N224" s="4">
        <v>0.1044621467590332</v>
      </c>
      <c r="O224" s="4">
        <v>0.1013741683959961</v>
      </c>
      <c r="P224" s="4">
        <v>0.10895432472229004</v>
      </c>
      <c r="Q224" s="4">
        <v>9.9994640350341793E-2</v>
      </c>
      <c r="R224" s="4">
        <v>0.10752544403076172</v>
      </c>
      <c r="S224" s="4" t="s">
        <v>47</v>
      </c>
      <c r="T224" s="23" t="s">
        <v>47</v>
      </c>
      <c r="W224" s="10">
        <v>7.2001644530136275</v>
      </c>
      <c r="X224" s="5">
        <v>7.9574164668084677</v>
      </c>
      <c r="Y224" s="11">
        <v>6.7461224221108296</v>
      </c>
      <c r="Z224" s="21">
        <v>-5.7871772027618803E-3</v>
      </c>
      <c r="AF224" s="21">
        <v>-5.7871772027618803E-3</v>
      </c>
    </row>
    <row r="225" spans="11:32" x14ac:dyDescent="0.25">
      <c r="L225">
        <f t="shared" si="20"/>
        <v>7</v>
      </c>
      <c r="M225" s="9">
        <v>0.1</v>
      </c>
      <c r="N225" s="4">
        <v>0.10356478691101074</v>
      </c>
      <c r="O225" s="4">
        <v>9.9879179000854496E-2</v>
      </c>
      <c r="P225" s="4">
        <v>0.10831170082092285</v>
      </c>
      <c r="Q225" s="4">
        <v>9.9994640350341793E-2</v>
      </c>
      <c r="R225" s="4">
        <v>0.10607362747192382</v>
      </c>
      <c r="S225" s="4" t="s">
        <v>47</v>
      </c>
      <c r="T225" s="23" t="s">
        <v>47</v>
      </c>
      <c r="W225" s="10">
        <v>7.7312533539737416</v>
      </c>
      <c r="X225" s="5">
        <v>8.7723020467057182</v>
      </c>
      <c r="Y225" s="11">
        <v>7.4598394730507778</v>
      </c>
      <c r="Z225" s="21">
        <v>-1.7346408427971399E-2</v>
      </c>
      <c r="AF225" s="21">
        <v>-1.7346408427971399E-2</v>
      </c>
    </row>
    <row r="226" spans="11:32" x14ac:dyDescent="0.25">
      <c r="L226">
        <f t="shared" si="20"/>
        <v>8</v>
      </c>
      <c r="M226" s="9">
        <v>0.1</v>
      </c>
      <c r="N226" s="4">
        <v>0.10247917175292968</v>
      </c>
      <c r="O226" s="4">
        <v>9.8012466430664066E-2</v>
      </c>
      <c r="P226" s="4">
        <v>0.1076682186126709</v>
      </c>
      <c r="Q226" s="4">
        <v>9.9994640350341793E-2</v>
      </c>
      <c r="R226" s="4">
        <v>0.10424135208129882</v>
      </c>
      <c r="S226" s="4" t="s">
        <v>47</v>
      </c>
      <c r="T226" s="23" t="s">
        <v>47</v>
      </c>
      <c r="W226" s="10">
        <v>5.9998522196566455</v>
      </c>
      <c r="X226" s="5">
        <v>6.4461301768564425</v>
      </c>
      <c r="Y226" s="11">
        <v>6.4789631397928815</v>
      </c>
      <c r="Z226" s="21">
        <v>-1.7286003219921901E-2</v>
      </c>
      <c r="AF226" s="21">
        <v>-1.7286003219921901E-2</v>
      </c>
    </row>
    <row r="227" spans="11:32" x14ac:dyDescent="0.25">
      <c r="L227">
        <f t="shared" si="20"/>
        <v>9</v>
      </c>
      <c r="M227" s="9">
        <v>0.1</v>
      </c>
      <c r="N227" s="4">
        <v>0.10174055099487304</v>
      </c>
      <c r="O227" s="4">
        <v>9.7789468765258791E-2</v>
      </c>
      <c r="P227" s="4">
        <v>0.10702491760253906</v>
      </c>
      <c r="Q227" s="4">
        <v>9.9994640350341793E-2</v>
      </c>
      <c r="R227" s="4">
        <v>0.10215317726135253</v>
      </c>
      <c r="S227" s="4" t="s">
        <v>47</v>
      </c>
      <c r="T227" s="23" t="s">
        <v>47</v>
      </c>
      <c r="W227" s="10">
        <v>5.6870089921373648</v>
      </c>
      <c r="X227" s="5">
        <v>5.9247435025858977</v>
      </c>
      <c r="Y227" s="11">
        <v>6.5306346086682936</v>
      </c>
      <c r="Z227" s="21">
        <v>-4.0018424484167599E-2</v>
      </c>
      <c r="AF227" s="21">
        <v>-4.0018424484167599E-2</v>
      </c>
    </row>
    <row r="228" spans="11:32" x14ac:dyDescent="0.25">
      <c r="L228">
        <f t="shared" si="20"/>
        <v>10</v>
      </c>
      <c r="M228" s="9">
        <v>0.1</v>
      </c>
      <c r="N228" s="4">
        <v>0.10115686416625977</v>
      </c>
      <c r="O228" s="4">
        <v>9.8318681716918946E-2</v>
      </c>
      <c r="P228" s="4">
        <v>0.10638278007507324</v>
      </c>
      <c r="Q228" s="4">
        <v>9.9994640350341793E-2</v>
      </c>
      <c r="R228" s="4">
        <v>9.9931354522705074E-2</v>
      </c>
      <c r="S228" s="4" t="s">
        <v>47</v>
      </c>
      <c r="T228" s="23" t="s">
        <v>47</v>
      </c>
      <c r="W228" s="10">
        <v>6.2798962627032751</v>
      </c>
      <c r="X228" s="5">
        <v>6.8174821404141852</v>
      </c>
      <c r="Y228" s="11">
        <v>6.9056655385372778</v>
      </c>
      <c r="Z228" s="21">
        <v>-0.105672147052652</v>
      </c>
      <c r="AF228" s="21">
        <v>-0.105672147052652</v>
      </c>
    </row>
    <row r="229" spans="11:32" x14ac:dyDescent="0.25">
      <c r="L229">
        <f t="shared" si="20"/>
        <v>11</v>
      </c>
      <c r="M229" s="9">
        <v>0.11</v>
      </c>
      <c r="N229" s="4">
        <v>0.10765000343322755</v>
      </c>
      <c r="O229" s="4">
        <v>0.10686511993408203</v>
      </c>
      <c r="P229" s="4">
        <v>0.10574275970458985</v>
      </c>
      <c r="Q229" s="4">
        <v>0.11030426979064942</v>
      </c>
      <c r="R229" s="4">
        <v>0.1076878547668457</v>
      </c>
      <c r="S229" s="4" t="s">
        <v>47</v>
      </c>
      <c r="T229" s="23">
        <v>0.16</v>
      </c>
      <c r="W229" s="10">
        <v>8.0661332203150096</v>
      </c>
      <c r="X229" s="5">
        <v>9.2914618251904812</v>
      </c>
      <c r="Y229" s="11">
        <v>8.9194195029013343</v>
      </c>
      <c r="Z229" s="21">
        <v>-0.180859174294073</v>
      </c>
      <c r="AF229" s="21">
        <v>-0.180859174294073</v>
      </c>
    </row>
    <row r="230" spans="11:32" x14ac:dyDescent="0.25">
      <c r="L230">
        <f t="shared" si="20"/>
        <v>12</v>
      </c>
      <c r="M230" s="9">
        <v>0.11</v>
      </c>
      <c r="N230" s="4">
        <v>0.10709929466247559</v>
      </c>
      <c r="O230" s="4">
        <v>0.10777846336364746</v>
      </c>
      <c r="P230" s="4">
        <v>0.10510573387145997</v>
      </c>
      <c r="Q230" s="4">
        <v>0.1099946403503418</v>
      </c>
      <c r="R230" s="4">
        <v>0.10551833152770997</v>
      </c>
      <c r="S230" s="4" t="s">
        <v>47</v>
      </c>
      <c r="T230" s="23">
        <v>0.16</v>
      </c>
      <c r="W230" s="10">
        <v>8.1324306010331071</v>
      </c>
      <c r="X230" s="5">
        <v>9.6657399469246883</v>
      </c>
      <c r="Y230" s="11">
        <v>8.9612545278118176</v>
      </c>
      <c r="Z230" s="21">
        <v>-0.101964145917685</v>
      </c>
      <c r="AF230" s="21">
        <v>-0.101964145917685</v>
      </c>
    </row>
    <row r="231" spans="11:32" x14ac:dyDescent="0.25">
      <c r="K231">
        <f t="shared" ref="K231" si="22">K219+1</f>
        <v>2019</v>
      </c>
      <c r="L231">
        <f t="shared" si="20"/>
        <v>1</v>
      </c>
      <c r="M231" s="9">
        <v>0.11</v>
      </c>
      <c r="N231" s="4">
        <v>0.10645078659057618</v>
      </c>
      <c r="O231" s="4">
        <v>0.10783735275268555</v>
      </c>
      <c r="P231" s="4">
        <v>0.10447262763977051</v>
      </c>
      <c r="Q231" s="4">
        <v>0.1099946403503418</v>
      </c>
      <c r="R231" s="4">
        <v>0.10349853515625</v>
      </c>
      <c r="S231" s="4" t="s">
        <v>47</v>
      </c>
      <c r="T231" s="23">
        <v>0.16</v>
      </c>
      <c r="W231" s="10">
        <v>7.2824577370836749</v>
      </c>
      <c r="X231" s="5">
        <v>8.116518349504446</v>
      </c>
      <c r="Y231" s="11">
        <v>6.6516853665789171</v>
      </c>
      <c r="Z231" s="21">
        <v>-4.1545251358068698E-2</v>
      </c>
      <c r="AF231" s="21">
        <v>-4.1545251358068698E-2</v>
      </c>
    </row>
    <row r="232" spans="11:32" x14ac:dyDescent="0.25">
      <c r="L232">
        <f t="shared" si="20"/>
        <v>2</v>
      </c>
      <c r="M232" s="9">
        <v>0.11</v>
      </c>
      <c r="N232" s="4">
        <v>0.10583692550659179</v>
      </c>
      <c r="O232" s="4">
        <v>0.10782539367675781</v>
      </c>
      <c r="P232" s="4">
        <v>0.10384438514709472</v>
      </c>
      <c r="Q232" s="4">
        <v>0.1099946403503418</v>
      </c>
      <c r="R232" s="4">
        <v>0.10168326377868653</v>
      </c>
      <c r="S232" s="4" t="s">
        <v>47</v>
      </c>
      <c r="T232" s="23">
        <v>0.16</v>
      </c>
      <c r="W232" s="10">
        <v>6.8731023241096381</v>
      </c>
      <c r="X232" s="5">
        <v>7.8514381845889858</v>
      </c>
      <c r="Y232" s="11">
        <v>7.1779791819684675</v>
      </c>
      <c r="Z232" s="21">
        <v>-1.6057635434114099E-2</v>
      </c>
      <c r="AF232" s="21">
        <v>-1.6057635434114099E-2</v>
      </c>
    </row>
    <row r="233" spans="11:32" x14ac:dyDescent="0.25">
      <c r="L233">
        <f t="shared" si="20"/>
        <v>3</v>
      </c>
      <c r="M233" s="9">
        <v>0.11</v>
      </c>
      <c r="N233" s="4">
        <v>0.1054266357421875</v>
      </c>
      <c r="O233" s="4">
        <v>0.10838236808776855</v>
      </c>
      <c r="P233" s="4">
        <v>0.10322201728820801</v>
      </c>
      <c r="Q233" s="4">
        <v>0.1099946403503418</v>
      </c>
      <c r="R233" s="4">
        <v>0.10010749816894532</v>
      </c>
      <c r="S233" s="4" t="s">
        <v>47</v>
      </c>
      <c r="T233" s="23" t="s">
        <v>47</v>
      </c>
      <c r="W233" s="10">
        <v>6.6756424619326964</v>
      </c>
      <c r="X233" s="5">
        <v>7.4610232733258783</v>
      </c>
      <c r="Y233" s="11">
        <v>7.1034600733144373</v>
      </c>
      <c r="Z233" s="21">
        <v>2.91538014260476E-2</v>
      </c>
      <c r="AF233" s="21">
        <v>2.91538014260476E-2</v>
      </c>
    </row>
    <row r="234" spans="11:32" x14ac:dyDescent="0.25">
      <c r="L234">
        <f t="shared" si="20"/>
        <v>4</v>
      </c>
      <c r="M234" s="9">
        <v>0.11</v>
      </c>
      <c r="N234" s="4">
        <v>0.10495939254760742</v>
      </c>
      <c r="O234" s="4">
        <v>0.10844685554504395</v>
      </c>
      <c r="P234" s="4">
        <v>0.10260656356811523</v>
      </c>
      <c r="Q234" s="4">
        <v>0.1099946403503418</v>
      </c>
      <c r="R234" s="4">
        <v>9.8789520263671882E-2</v>
      </c>
      <c r="S234" s="4" t="s">
        <v>47</v>
      </c>
      <c r="T234" s="23">
        <v>0.16</v>
      </c>
      <c r="W234" s="10">
        <v>7.0124106230146026</v>
      </c>
      <c r="X234" s="5">
        <v>7.8388947719531075</v>
      </c>
      <c r="Y234" s="11">
        <v>7.6160699233241189</v>
      </c>
      <c r="Z234" s="21">
        <v>7.8319843998988399E-3</v>
      </c>
      <c r="AF234" s="21">
        <v>7.8319843998988399E-3</v>
      </c>
    </row>
    <row r="235" spans="11:32" x14ac:dyDescent="0.25">
      <c r="L235">
        <f t="shared" si="20"/>
        <v>5</v>
      </c>
      <c r="M235" s="9">
        <v>0.11</v>
      </c>
      <c r="N235" s="4">
        <v>0.10425058364868164</v>
      </c>
      <c r="O235" s="4">
        <v>0.10727324485778808</v>
      </c>
      <c r="P235" s="4">
        <v>0.10199913024902343</v>
      </c>
      <c r="Q235" s="4">
        <v>0.1099946403503418</v>
      </c>
      <c r="R235" s="4">
        <v>9.7735328674316405E-2</v>
      </c>
      <c r="S235" s="4" t="s">
        <v>47</v>
      </c>
      <c r="T235" s="23">
        <v>0.16</v>
      </c>
      <c r="W235" s="10">
        <v>7.8924691077318556</v>
      </c>
      <c r="X235" s="5">
        <v>8.8165142439686122</v>
      </c>
      <c r="Y235" s="11">
        <v>7.7429911823593756</v>
      </c>
      <c r="Z235" s="21">
        <v>-0.118768685317022</v>
      </c>
      <c r="AF235" s="21">
        <v>-0.118768685317022</v>
      </c>
    </row>
    <row r="236" spans="11:32" x14ac:dyDescent="0.25">
      <c r="L236">
        <f t="shared" si="20"/>
        <v>6</v>
      </c>
      <c r="M236" s="9">
        <v>0.11</v>
      </c>
      <c r="N236" s="4">
        <v>0.10377360343933105</v>
      </c>
      <c r="O236" s="4">
        <v>0.10675516128540039</v>
      </c>
      <c r="P236" s="4">
        <v>0.10140087127685547</v>
      </c>
      <c r="Q236" s="4">
        <v>0.1099946403503418</v>
      </c>
      <c r="R236" s="4">
        <v>9.6943731307983394E-2</v>
      </c>
      <c r="S236" s="4" t="s">
        <v>47</v>
      </c>
      <c r="T236" s="23">
        <v>0.16</v>
      </c>
      <c r="W236" s="10">
        <v>8.0940006213316877</v>
      </c>
      <c r="X236" s="5">
        <v>9.5862268531413122</v>
      </c>
      <c r="Y236" s="11">
        <v>8.262148055254201</v>
      </c>
      <c r="Z236" s="21">
        <v>-5.5886748741485401E-2</v>
      </c>
      <c r="AF236" s="21">
        <v>-5.5886748741485401E-2</v>
      </c>
    </row>
    <row r="237" spans="11:32" x14ac:dyDescent="0.25">
      <c r="L237">
        <f t="shared" si="20"/>
        <v>7</v>
      </c>
      <c r="M237" s="9">
        <v>0.11</v>
      </c>
      <c r="N237" s="4">
        <v>0.10371302604675293</v>
      </c>
      <c r="O237" s="4">
        <v>0.10763303756713867</v>
      </c>
      <c r="P237" s="4">
        <v>0.10081300735473633</v>
      </c>
      <c r="Q237" s="4">
        <v>0.1099946403503418</v>
      </c>
      <c r="R237" s="4">
        <v>9.6411428451538092E-2</v>
      </c>
      <c r="S237" s="4" t="s">
        <v>47</v>
      </c>
      <c r="T237" s="23">
        <v>0.16</v>
      </c>
      <c r="W237" s="10">
        <v>7.6850499058820532</v>
      </c>
      <c r="X237" s="5">
        <v>9.0475061146852624</v>
      </c>
      <c r="Y237" s="11">
        <v>8.0922075734581398</v>
      </c>
      <c r="Z237" s="21">
        <v>5.1308256035529597E-2</v>
      </c>
      <c r="AF237" s="21">
        <v>5.1308256035529597E-2</v>
      </c>
    </row>
    <row r="238" spans="11:32" x14ac:dyDescent="0.25">
      <c r="L238">
        <f t="shared" si="20"/>
        <v>8</v>
      </c>
      <c r="M238" s="9">
        <v>0.11</v>
      </c>
      <c r="N238" s="4">
        <v>0.10308265686035156</v>
      </c>
      <c r="O238" s="4">
        <v>0.10596168518066407</v>
      </c>
      <c r="P238" s="4">
        <v>0.10023681640625</v>
      </c>
      <c r="Q238" s="4">
        <v>0.1099946403503418</v>
      </c>
      <c r="R238" s="4">
        <v>9.6137475967407224E-2</v>
      </c>
      <c r="S238" s="4" t="s">
        <v>47</v>
      </c>
      <c r="T238" s="23">
        <v>0.16</v>
      </c>
      <c r="W238" s="10">
        <v>8.8633203380477568</v>
      </c>
      <c r="X238" s="5">
        <v>10.464280588263165</v>
      </c>
      <c r="Y238" s="11">
        <v>8.4694092252265563</v>
      </c>
      <c r="Z238" s="21">
        <v>-5.2407569849065201E-2</v>
      </c>
      <c r="AF238" s="21">
        <v>-5.2407569849065201E-2</v>
      </c>
    </row>
    <row r="239" spans="11:32" x14ac:dyDescent="0.25">
      <c r="L239">
        <f t="shared" si="20"/>
        <v>9</v>
      </c>
      <c r="M239" s="9">
        <v>0.11</v>
      </c>
      <c r="N239" s="4">
        <v>0.10266637802124023</v>
      </c>
      <c r="O239" s="4">
        <v>0.10487070083618164</v>
      </c>
      <c r="P239" s="4">
        <v>9.9673671722412108E-2</v>
      </c>
      <c r="Q239" s="4">
        <v>0.1099946403503418</v>
      </c>
      <c r="R239" s="4">
        <v>9.6126499176025393E-2</v>
      </c>
      <c r="S239" s="4" t="s">
        <v>47</v>
      </c>
      <c r="T239" s="23">
        <v>0.16</v>
      </c>
      <c r="W239" s="10">
        <v>8.994349316732368</v>
      </c>
      <c r="X239" s="5">
        <v>10.477467571642634</v>
      </c>
      <c r="Y239" s="11">
        <v>7.6806060424986384</v>
      </c>
      <c r="Z239" s="21">
        <v>-9.4793020530384103E-2</v>
      </c>
      <c r="AF239" s="21">
        <v>-9.4793020530384103E-2</v>
      </c>
    </row>
    <row r="240" spans="11:32" x14ac:dyDescent="0.25">
      <c r="L240">
        <f t="shared" si="20"/>
        <v>10</v>
      </c>
      <c r="M240" s="9">
        <v>0.11</v>
      </c>
      <c r="N240" s="4">
        <v>0.10281593322753907</v>
      </c>
      <c r="O240" s="4">
        <v>0.10575363159179688</v>
      </c>
      <c r="P240" s="4">
        <v>9.912497520446778E-2</v>
      </c>
      <c r="Q240" s="4">
        <v>0.1099946403503418</v>
      </c>
      <c r="R240" s="4">
        <v>9.6390476226806646E-2</v>
      </c>
      <c r="S240" s="4" t="s">
        <v>47</v>
      </c>
      <c r="T240" s="23">
        <v>0.16</v>
      </c>
      <c r="W240" s="10">
        <v>7.5952464937249147</v>
      </c>
      <c r="X240" s="5">
        <v>8.4645963870902534</v>
      </c>
      <c r="Y240" s="11">
        <v>6.0388477674135714</v>
      </c>
      <c r="Z240" s="21">
        <v>-9.2096048020996399E-2</v>
      </c>
      <c r="AF240" s="21">
        <v>-9.2096048020996399E-2</v>
      </c>
    </row>
    <row r="241" spans="11:32" x14ac:dyDescent="0.25">
      <c r="L241">
        <f t="shared" si="20"/>
        <v>11</v>
      </c>
      <c r="M241" s="9">
        <v>0.11</v>
      </c>
      <c r="N241" s="4">
        <v>0.10322057723999023</v>
      </c>
      <c r="O241" s="4">
        <v>0.10734668731689453</v>
      </c>
      <c r="P241" s="4">
        <v>9.8592262268066402E-2</v>
      </c>
      <c r="Q241" s="4">
        <v>0.1099946403503418</v>
      </c>
      <c r="R241" s="4">
        <v>9.6948738098144527E-2</v>
      </c>
      <c r="S241" s="4" t="s">
        <v>47</v>
      </c>
      <c r="T241" s="23">
        <v>0.16</v>
      </c>
      <c r="W241" s="10">
        <v>5.2277873849991465</v>
      </c>
      <c r="X241" s="5">
        <v>5.0292447594843992</v>
      </c>
      <c r="Y241" s="11">
        <v>3.9582634478661163</v>
      </c>
      <c r="Z241" s="21">
        <v>-5.3454482783714098E-2</v>
      </c>
      <c r="AF241" s="21">
        <v>-5.3454482783714098E-2</v>
      </c>
    </row>
    <row r="242" spans="11:32" x14ac:dyDescent="0.25">
      <c r="L242">
        <f t="shared" si="20"/>
        <v>12</v>
      </c>
      <c r="M242" s="9">
        <v>0.11</v>
      </c>
      <c r="N242" s="4">
        <v>0.10339388847351075</v>
      </c>
      <c r="O242" s="4">
        <v>0.10767746925354003</v>
      </c>
      <c r="P242" s="4">
        <v>9.807711601257324E-2</v>
      </c>
      <c r="Q242" s="4">
        <v>0.1099946403503418</v>
      </c>
      <c r="R242" s="4">
        <v>9.782633781433106E-2</v>
      </c>
      <c r="S242" s="4" t="s">
        <v>47</v>
      </c>
      <c r="T242" s="23">
        <v>0.16</v>
      </c>
      <c r="W242" s="10">
        <v>5.2310703097044211</v>
      </c>
      <c r="X242" s="5">
        <v>5.0071517419117839</v>
      </c>
      <c r="Y242" s="11">
        <v>4.2463521264981097</v>
      </c>
      <c r="Z242" s="21">
        <v>-1.43739642904305E-2</v>
      </c>
      <c r="AF242" s="21">
        <v>-1.43739642904305E-2</v>
      </c>
    </row>
    <row r="243" spans="11:32" x14ac:dyDescent="0.25">
      <c r="K243">
        <f t="shared" ref="K243" si="23">K231+1</f>
        <v>2020</v>
      </c>
      <c r="L243">
        <f t="shared" si="20"/>
        <v>1</v>
      </c>
      <c r="M243" s="9">
        <v>0.11</v>
      </c>
      <c r="N243" s="4">
        <v>0.10426780700683594</v>
      </c>
      <c r="O243" s="4">
        <v>0.11044438362121582</v>
      </c>
      <c r="P243" s="4">
        <v>9.7581224441528322E-2</v>
      </c>
      <c r="Q243" s="4">
        <v>0.1099946403503418</v>
      </c>
      <c r="R243" s="4">
        <v>9.905096054077149E-2</v>
      </c>
      <c r="S243" s="4" t="s">
        <v>47</v>
      </c>
      <c r="T243" s="23">
        <v>0.16</v>
      </c>
      <c r="W243" s="10">
        <v>5.5857784462876339</v>
      </c>
      <c r="X243" s="5">
        <v>6.0010561954667736</v>
      </c>
      <c r="Y243" s="11">
        <v>5.0332403289129672</v>
      </c>
      <c r="Z243" s="21">
        <v>-5.67259733815203E-2</v>
      </c>
      <c r="AA243">
        <v>1</v>
      </c>
      <c r="AB243" s="8">
        <v>-2.5</v>
      </c>
      <c r="AF243" s="21">
        <v>-5.67259733815203E-2</v>
      </c>
    </row>
    <row r="244" spans="11:32" x14ac:dyDescent="0.25">
      <c r="L244">
        <f t="shared" si="20"/>
        <v>2</v>
      </c>
      <c r="M244" s="9">
        <v>0.11</v>
      </c>
      <c r="N244" s="4">
        <v>0.10444392204284668</v>
      </c>
      <c r="O244" s="4">
        <v>0.11002593994140625</v>
      </c>
      <c r="P244" s="4">
        <v>9.7106361389160151E-2</v>
      </c>
      <c r="Q244" s="4">
        <v>0.1099946403503418</v>
      </c>
      <c r="R244" s="4">
        <v>0.10064874649047852</v>
      </c>
      <c r="S244" s="4" t="s">
        <v>47</v>
      </c>
      <c r="T244" s="23">
        <v>0.16</v>
      </c>
      <c r="W244" s="10">
        <v>6.3527064615065143</v>
      </c>
      <c r="X244" s="5">
        <v>6.9305548140761601</v>
      </c>
      <c r="Y244" s="11">
        <v>5.1253062975714272</v>
      </c>
      <c r="Z244" s="21">
        <v>-2.0821762109708501</v>
      </c>
      <c r="AA244">
        <v>1</v>
      </c>
      <c r="AB244" s="8">
        <v>-2.5</v>
      </c>
      <c r="AF244" s="21">
        <v>-2.0821762109708501</v>
      </c>
    </row>
    <row r="245" spans="11:32" x14ac:dyDescent="0.25">
      <c r="L245">
        <f t="shared" si="20"/>
        <v>3</v>
      </c>
      <c r="M245" s="9">
        <v>0.1</v>
      </c>
      <c r="N245" s="4">
        <v>9.6870517730712896E-2</v>
      </c>
      <c r="O245" s="4">
        <v>9.8503084182739259E-2</v>
      </c>
      <c r="P245" s="4">
        <v>9.6654386520385743E-2</v>
      </c>
      <c r="Q245" s="4">
        <v>9.9685010910034177E-2</v>
      </c>
      <c r="R245" s="4">
        <v>9.2639579772949218E-2</v>
      </c>
      <c r="S245" s="4" t="s">
        <v>47</v>
      </c>
      <c r="T245" s="23" t="s">
        <v>47</v>
      </c>
      <c r="W245" s="10">
        <v>6.361819891581419</v>
      </c>
      <c r="X245" s="5">
        <v>6.7815166993807168</v>
      </c>
      <c r="Y245" s="11">
        <v>5.1547498796199278</v>
      </c>
      <c r="Z245" s="21">
        <v>0.64430395632988902</v>
      </c>
      <c r="AA245">
        <v>1</v>
      </c>
      <c r="AB245" s="8">
        <v>-2.5</v>
      </c>
      <c r="AF245" s="21">
        <v>0.64430395632988902</v>
      </c>
    </row>
    <row r="246" spans="11:32" x14ac:dyDescent="0.25">
      <c r="L246">
        <f t="shared" si="20"/>
        <v>4</v>
      </c>
      <c r="M246" s="9">
        <v>0.09</v>
      </c>
      <c r="N246" s="4">
        <v>8.9631032943725583E-2</v>
      </c>
      <c r="O246" s="4">
        <v>8.7579631805419916E-2</v>
      </c>
      <c r="P246" s="4">
        <v>9.6227283477783199E-2</v>
      </c>
      <c r="Q246" s="4">
        <v>8.9685010910034182E-2</v>
      </c>
      <c r="R246" s="4">
        <v>8.5032215118408208E-2</v>
      </c>
      <c r="S246" s="4" t="s">
        <v>47</v>
      </c>
      <c r="T246" s="23" t="s">
        <v>47</v>
      </c>
      <c r="W246" s="10">
        <v>4.6963440640156762</v>
      </c>
      <c r="X246" s="5">
        <v>5.2583356316292935</v>
      </c>
      <c r="Y246" s="11">
        <v>4.0536546693446098</v>
      </c>
      <c r="Z246" s="21">
        <v>0.15558143799382701</v>
      </c>
      <c r="AA246">
        <v>1</v>
      </c>
      <c r="AB246" s="8">
        <v>-2.5</v>
      </c>
      <c r="AF246" s="21">
        <v>0.15558143799382701</v>
      </c>
    </row>
    <row r="247" spans="11:32" x14ac:dyDescent="0.25">
      <c r="L247">
        <f t="shared" si="20"/>
        <v>5</v>
      </c>
      <c r="M247" s="9">
        <v>0.09</v>
      </c>
      <c r="N247" s="4">
        <v>9.0331745147705075E-2</v>
      </c>
      <c r="O247" s="4">
        <v>8.7685241699218749E-2</v>
      </c>
      <c r="P247" s="4">
        <v>9.582704544067383E-2</v>
      </c>
      <c r="Q247" s="4">
        <v>8.9994640350341798E-2</v>
      </c>
      <c r="R247" s="4">
        <v>8.7820043563842778E-2</v>
      </c>
      <c r="S247" s="4" t="s">
        <v>47</v>
      </c>
      <c r="T247" s="23" t="s">
        <v>47</v>
      </c>
      <c r="W247" s="10">
        <v>3.2895032942207791</v>
      </c>
      <c r="X247" s="5">
        <v>3.5407435733521737</v>
      </c>
      <c r="Y247" s="11">
        <v>2.9473818507891849</v>
      </c>
      <c r="Z247" s="21">
        <v>2.0823223962708102E-3</v>
      </c>
      <c r="AF247" s="21">
        <v>2.0823223962708102E-3</v>
      </c>
    </row>
    <row r="248" spans="11:32" x14ac:dyDescent="0.25">
      <c r="L248">
        <f t="shared" si="20"/>
        <v>6</v>
      </c>
      <c r="M248" s="9">
        <v>0.09</v>
      </c>
      <c r="N248" s="4">
        <v>9.1810178756713864E-2</v>
      </c>
      <c r="O248" s="4">
        <v>9.0812730789184573E-2</v>
      </c>
      <c r="P248" s="4">
        <v>9.5455608367919928E-2</v>
      </c>
      <c r="Q248" s="4">
        <v>8.9994640350341798E-2</v>
      </c>
      <c r="R248" s="4">
        <v>9.0977725982666013E-2</v>
      </c>
      <c r="S248" s="4" t="s">
        <v>47</v>
      </c>
      <c r="T248" s="23" t="s">
        <v>47</v>
      </c>
      <c r="W248" s="10">
        <v>2.84698156742013</v>
      </c>
      <c r="X248" s="5">
        <v>2.4357371289110006</v>
      </c>
      <c r="Y248" s="11">
        <v>2.0588585235126402</v>
      </c>
      <c r="Z248" s="21">
        <v>1.9174518582520901E-2</v>
      </c>
      <c r="AF248" s="21">
        <v>1.9174518582520901E-2</v>
      </c>
    </row>
    <row r="249" spans="11:32" x14ac:dyDescent="0.25">
      <c r="L249">
        <f t="shared" si="20"/>
        <v>7</v>
      </c>
      <c r="M249" s="9">
        <v>0.09</v>
      </c>
      <c r="N249" s="4">
        <v>9.2188634872436517E-2</v>
      </c>
      <c r="O249" s="4">
        <v>8.9185762405395511E-2</v>
      </c>
      <c r="P249" s="4">
        <v>9.5114889144897463E-2</v>
      </c>
      <c r="Q249" s="4">
        <v>8.9994640350341798E-2</v>
      </c>
      <c r="R249" s="4">
        <v>9.4459247589111325E-2</v>
      </c>
      <c r="S249" s="4" t="s">
        <v>47</v>
      </c>
      <c r="T249" s="23" t="s">
        <v>47</v>
      </c>
      <c r="W249" s="10">
        <v>3.4421713958055022</v>
      </c>
      <c r="X249" s="5">
        <v>3.2170931843106274</v>
      </c>
      <c r="Y249" s="11">
        <v>2.0298093920632994</v>
      </c>
      <c r="Z249" s="21">
        <v>7.5731594002130698E-2</v>
      </c>
      <c r="AF249" s="21">
        <v>7.5731594002130698E-2</v>
      </c>
    </row>
    <row r="250" spans="11:32" x14ac:dyDescent="0.25">
      <c r="L250">
        <f t="shared" si="20"/>
        <v>8</v>
      </c>
      <c r="M250" s="9">
        <v>0.09</v>
      </c>
      <c r="N250" s="4">
        <v>9.3482522964477538E-2</v>
      </c>
      <c r="O250" s="4">
        <v>9.0931158065795895E-2</v>
      </c>
      <c r="P250" s="4">
        <v>9.4806747436523439E-2</v>
      </c>
      <c r="Q250" s="4">
        <v>8.9994640350341798E-2</v>
      </c>
      <c r="R250" s="4">
        <v>9.819754600524902E-2</v>
      </c>
      <c r="S250" s="4" t="s">
        <v>47</v>
      </c>
      <c r="T250" s="23" t="s">
        <v>47</v>
      </c>
      <c r="W250" s="10">
        <v>2.1084924398393383</v>
      </c>
      <c r="X250" s="5">
        <v>1.666767591800081</v>
      </c>
      <c r="Y250" s="11">
        <v>1.5135558852630879</v>
      </c>
      <c r="Z250" s="21">
        <v>6.2277979688724699E-2</v>
      </c>
      <c r="AF250" s="21">
        <v>6.2277979688724699E-2</v>
      </c>
    </row>
    <row r="251" spans="11:32" x14ac:dyDescent="0.25">
      <c r="L251">
        <f t="shared" si="20"/>
        <v>9</v>
      </c>
      <c r="M251" s="9">
        <v>0.08</v>
      </c>
      <c r="N251" s="4">
        <v>8.6742649078369136E-2</v>
      </c>
      <c r="O251" s="4">
        <v>8.0646705627441403E-2</v>
      </c>
      <c r="P251" s="4">
        <v>9.4532995223999022E-2</v>
      </c>
      <c r="Q251" s="4">
        <v>7.9685010910034174E-2</v>
      </c>
      <c r="R251" s="4">
        <v>9.2105875015258784E-2</v>
      </c>
      <c r="S251" s="4">
        <v>0.16</v>
      </c>
      <c r="T251" s="23" t="s">
        <v>47</v>
      </c>
      <c r="W251" s="10">
        <v>1.7206505681071178</v>
      </c>
      <c r="X251" s="5">
        <v>1.3704198774220373</v>
      </c>
      <c r="Y251" s="11">
        <v>2.0398999548304602</v>
      </c>
      <c r="Z251" s="21">
        <v>8.7140867957097301E-2</v>
      </c>
      <c r="AF251" s="21">
        <v>8.7140867957097301E-2</v>
      </c>
    </row>
    <row r="252" spans="11:32" x14ac:dyDescent="0.25">
      <c r="L252">
        <f t="shared" si="20"/>
        <v>10</v>
      </c>
      <c r="M252" s="9">
        <v>0.08</v>
      </c>
      <c r="N252" s="4">
        <v>8.7789287567138677E-2</v>
      </c>
      <c r="O252" s="4">
        <v>8.0786333084106446E-2</v>
      </c>
      <c r="P252" s="4">
        <v>9.4295415878295902E-2</v>
      </c>
      <c r="Q252" s="4">
        <v>7.9994640350341803E-2</v>
      </c>
      <c r="R252" s="4">
        <v>9.6080760955810543E-2</v>
      </c>
      <c r="S252" s="4">
        <v>0.16</v>
      </c>
      <c r="T252" s="23" t="s">
        <v>47</v>
      </c>
      <c r="W252" s="10">
        <v>2.4381998242032523</v>
      </c>
      <c r="X252" s="5">
        <v>2.5576108653907568</v>
      </c>
      <c r="Y252" s="11">
        <v>3.0351621081621829</v>
      </c>
      <c r="Z252" s="21">
        <v>0.13900231801333701</v>
      </c>
      <c r="AF252" s="21">
        <v>0.13900231801333701</v>
      </c>
    </row>
    <row r="253" spans="11:32" x14ac:dyDescent="0.25">
      <c r="L253">
        <f t="shared" si="20"/>
        <v>11</v>
      </c>
      <c r="M253" s="9">
        <v>0.06</v>
      </c>
      <c r="N253" s="4">
        <v>7.3581728935241703E-2</v>
      </c>
      <c r="O253" s="4">
        <v>6.0849471092224119E-2</v>
      </c>
      <c r="P253" s="4">
        <v>9.4095697402954107E-2</v>
      </c>
      <c r="Q253" s="4">
        <v>5.9375386238098148E-2</v>
      </c>
      <c r="R253" s="4">
        <v>8.000636100769043E-2</v>
      </c>
      <c r="S253" s="4">
        <v>0.16</v>
      </c>
      <c r="T253" s="23" t="s">
        <v>47</v>
      </c>
      <c r="W253" s="10">
        <v>3.4964638588516692</v>
      </c>
      <c r="X253" s="5">
        <v>4.3492090578117342</v>
      </c>
      <c r="Y253" s="11">
        <v>3.3190443855207263</v>
      </c>
      <c r="Z253" s="21">
        <v>6.8797447751958896E-2</v>
      </c>
      <c r="AF253" s="21">
        <v>6.8797447751958896E-2</v>
      </c>
    </row>
    <row r="254" spans="11:32" x14ac:dyDescent="0.25">
      <c r="L254">
        <f t="shared" si="20"/>
        <v>12</v>
      </c>
      <c r="M254" s="9">
        <v>0.06</v>
      </c>
      <c r="N254" s="4">
        <v>7.5239572525024417E-2</v>
      </c>
      <c r="O254" s="4">
        <v>6.326837062835694E-2</v>
      </c>
      <c r="P254" s="4">
        <v>9.393538475036621E-2</v>
      </c>
      <c r="Q254" s="4">
        <v>5.9994640350341799E-2</v>
      </c>
      <c r="R254" s="4">
        <v>8.3759889602661133E-2</v>
      </c>
      <c r="S254" s="4">
        <v>0.16</v>
      </c>
      <c r="T254" s="23" t="s">
        <v>47</v>
      </c>
      <c r="W254" s="10">
        <v>2.2769385378522173</v>
      </c>
      <c r="X254" s="5">
        <v>1.8916874295377113</v>
      </c>
      <c r="Y254" s="11">
        <v>0.21698539998293143</v>
      </c>
      <c r="Z254" s="21">
        <v>6.1884632001280401E-2</v>
      </c>
      <c r="AF254" s="21">
        <v>6.1884632001280401E-2</v>
      </c>
    </row>
    <row r="255" spans="11:32" x14ac:dyDescent="0.25">
      <c r="K255">
        <f t="shared" ref="K255" si="24">K243+1</f>
        <v>2021</v>
      </c>
      <c r="L255">
        <f t="shared" si="20"/>
        <v>1</v>
      </c>
      <c r="M255" s="9">
        <v>0.06</v>
      </c>
      <c r="N255" s="4">
        <v>7.5773458480834957E-2</v>
      </c>
      <c r="O255" s="4">
        <v>6.2065677642822267E-2</v>
      </c>
      <c r="P255" s="4">
        <v>9.3815784454345699E-2</v>
      </c>
      <c r="Q255" s="4">
        <v>5.9994640350341799E-2</v>
      </c>
      <c r="R255" s="4">
        <v>8.7217731475830076E-2</v>
      </c>
      <c r="S255" s="4">
        <v>0.16</v>
      </c>
      <c r="T255" s="23" t="s">
        <v>47</v>
      </c>
      <c r="W255" s="10"/>
      <c r="X255" s="6"/>
      <c r="Y255" s="11">
        <v>5.4036324019372861</v>
      </c>
      <c r="Z255" s="21">
        <v>7.2735294020574007E-2</v>
      </c>
      <c r="AF255" s="21">
        <v>7.2735294020574007E-2</v>
      </c>
    </row>
    <row r="256" spans="11:32" x14ac:dyDescent="0.25">
      <c r="L256">
        <f t="shared" si="20"/>
        <v>2</v>
      </c>
      <c r="M256" s="9">
        <v>0.06</v>
      </c>
      <c r="N256" s="4">
        <v>7.6495933532714847E-2</v>
      </c>
      <c r="O256" s="4">
        <v>6.1989498138427732E-2</v>
      </c>
      <c r="P256" s="4">
        <v>9.3737926483154294E-2</v>
      </c>
      <c r="Q256" s="4">
        <v>5.9994640350341799E-2</v>
      </c>
      <c r="R256" s="4">
        <v>9.0261659622192389E-2</v>
      </c>
      <c r="S256" s="4">
        <v>0.16</v>
      </c>
      <c r="T256" s="23" t="s">
        <v>47</v>
      </c>
      <c r="W256" s="10"/>
      <c r="X256" s="6"/>
      <c r="Y256" s="11">
        <v>5.1001926495430228</v>
      </c>
      <c r="Z256" s="21">
        <v>7.8052824543099794E-2</v>
      </c>
      <c r="AF256" s="21">
        <v>7.8052824543099794E-2</v>
      </c>
    </row>
    <row r="257" spans="11:32" x14ac:dyDescent="0.25">
      <c r="L257">
        <f t="shared" si="20"/>
        <v>3</v>
      </c>
      <c r="M257" s="9">
        <v>0.06</v>
      </c>
      <c r="N257" s="4">
        <v>7.7166452407836914E-2</v>
      </c>
      <c r="O257" s="4">
        <v>6.2183771133422855E-2</v>
      </c>
      <c r="P257" s="4">
        <v>9.3702592849731439E-2</v>
      </c>
      <c r="Q257" s="4">
        <v>5.9994640350341799E-2</v>
      </c>
      <c r="R257" s="4">
        <v>9.2784805297851561E-2</v>
      </c>
      <c r="S257" s="4">
        <v>0.16</v>
      </c>
      <c r="T257" s="23" t="s">
        <v>47</v>
      </c>
      <c r="W257" s="10"/>
      <c r="X257" s="6"/>
      <c r="Y257" s="11">
        <v>4.6821010389578976</v>
      </c>
      <c r="Z257" s="21">
        <v>6.6402467448007693E-2</v>
      </c>
      <c r="AF257" s="21">
        <v>6.6402467448007693E-2</v>
      </c>
    </row>
    <row r="258" spans="11:32" x14ac:dyDescent="0.25">
      <c r="L258">
        <f t="shared" si="20"/>
        <v>4</v>
      </c>
      <c r="M258" s="9">
        <v>0.06</v>
      </c>
      <c r="N258" s="4">
        <v>7.7875461578369137E-2</v>
      </c>
      <c r="O258" s="4">
        <v>6.3100047111511237E-2</v>
      </c>
      <c r="P258" s="4">
        <v>9.3710298538208003E-2</v>
      </c>
      <c r="Q258" s="4">
        <v>5.9994640350341799E-2</v>
      </c>
      <c r="R258" s="4">
        <v>9.469686508178711E-2</v>
      </c>
      <c r="S258" s="4">
        <v>0.16</v>
      </c>
      <c r="T258" s="23" t="s">
        <v>47</v>
      </c>
      <c r="W258" s="10"/>
      <c r="X258" s="6"/>
      <c r="Y258" s="11">
        <v>4.9549597193004447</v>
      </c>
      <c r="Z258" s="21">
        <v>2.62742008867906E-2</v>
      </c>
      <c r="AF258" s="21">
        <v>2.62742008867906E-2</v>
      </c>
    </row>
    <row r="259" spans="11:32" x14ac:dyDescent="0.25">
      <c r="L259">
        <f t="shared" si="20"/>
        <v>5</v>
      </c>
      <c r="M259" s="9">
        <v>0.06</v>
      </c>
      <c r="N259" s="4">
        <v>7.853793621063232E-2</v>
      </c>
      <c r="O259" s="4">
        <v>6.4467468261718744E-2</v>
      </c>
      <c r="P259" s="4">
        <v>9.3761291503906247E-2</v>
      </c>
      <c r="Q259" s="4">
        <v>5.9994640350341799E-2</v>
      </c>
      <c r="R259" s="4">
        <v>9.5928344726562503E-2</v>
      </c>
      <c r="S259" s="4">
        <v>0.16</v>
      </c>
      <c r="T259" s="23" t="s">
        <v>47</v>
      </c>
      <c r="W259" s="10"/>
      <c r="X259" s="6"/>
      <c r="Y259" s="11">
        <v>5.5352237117268333</v>
      </c>
      <c r="Z259" s="21">
        <v>3.5850037973137898E-2</v>
      </c>
      <c r="AF259" s="21">
        <v>3.5850037973137898E-2</v>
      </c>
    </row>
    <row r="260" spans="11:32" x14ac:dyDescent="0.25">
      <c r="L260">
        <f t="shared" si="20"/>
        <v>6</v>
      </c>
      <c r="M260" s="9">
        <v>0.06</v>
      </c>
      <c r="N260" s="4">
        <v>7.8581590652465824E-2</v>
      </c>
      <c r="O260" s="4">
        <v>6.4042787551879879E-2</v>
      </c>
      <c r="P260" s="4">
        <v>9.3855581283569342E-2</v>
      </c>
      <c r="Q260" s="4">
        <v>5.9994640350341799E-2</v>
      </c>
      <c r="R260" s="4">
        <v>9.6433343887329104E-2</v>
      </c>
      <c r="S260" s="4">
        <v>0.16</v>
      </c>
      <c r="T260" s="23" t="s">
        <v>47</v>
      </c>
      <c r="W260" s="10"/>
      <c r="X260" s="6"/>
      <c r="Y260" s="11">
        <v>6.6470762797516292</v>
      </c>
      <c r="Z260" s="21">
        <v>4.5605952506721899E-2</v>
      </c>
      <c r="AF260" s="21">
        <v>4.5605952506721899E-2</v>
      </c>
    </row>
    <row r="261" spans="11:32" x14ac:dyDescent="0.25">
      <c r="L261">
        <f t="shared" si="20"/>
        <v>7</v>
      </c>
      <c r="M261" s="9">
        <v>0.06</v>
      </c>
      <c r="N261" s="4">
        <v>7.8215656280517576E-2</v>
      </c>
      <c r="O261" s="4">
        <v>6.2684030532836915E-2</v>
      </c>
      <c r="P261" s="4">
        <v>9.399289131164551E-2</v>
      </c>
      <c r="Q261" s="4">
        <v>5.9994640350341799E-2</v>
      </c>
      <c r="R261" s="4">
        <v>9.6191053390502934E-2</v>
      </c>
      <c r="S261" s="4">
        <v>0.16</v>
      </c>
      <c r="T261" s="23" t="s">
        <v>47</v>
      </c>
      <c r="W261" s="10"/>
      <c r="X261" s="6"/>
      <c r="Y261" s="11">
        <v>6.651525111986345</v>
      </c>
      <c r="Z261" s="21">
        <v>4.0186363596370997E-2</v>
      </c>
      <c r="AF261" s="21">
        <v>4.0186363596370997E-2</v>
      </c>
    </row>
    <row r="262" spans="11:32" x14ac:dyDescent="0.25">
      <c r="L262">
        <f t="shared" si="20"/>
        <v>8</v>
      </c>
      <c r="M262" s="9">
        <v>0.06</v>
      </c>
      <c r="N262" s="4">
        <v>7.8011636734008794E-2</v>
      </c>
      <c r="O262" s="4">
        <v>6.267353534698486E-2</v>
      </c>
      <c r="P262" s="4">
        <v>9.4172697067260738E-2</v>
      </c>
      <c r="Q262" s="4">
        <v>5.9994640350341799E-2</v>
      </c>
      <c r="R262" s="4">
        <v>9.5205678939819335E-2</v>
      </c>
      <c r="S262" s="4">
        <v>0.16</v>
      </c>
      <c r="T262" s="23" t="s">
        <v>47</v>
      </c>
      <c r="W262" s="10"/>
      <c r="X262" s="6"/>
      <c r="Y262" s="11">
        <v>8.0107000107504831</v>
      </c>
      <c r="Z262" s="21">
        <v>-8.02936023046915E-2</v>
      </c>
      <c r="AF262" s="21">
        <v>-8.02936023046915E-2</v>
      </c>
    </row>
    <row r="263" spans="11:32" x14ac:dyDescent="0.25">
      <c r="L263">
        <f t="shared" si="20"/>
        <v>9</v>
      </c>
      <c r="M263" s="9">
        <v>0.06</v>
      </c>
      <c r="N263" s="4">
        <v>7.7635073661804194E-2</v>
      </c>
      <c r="O263" s="4">
        <v>6.2646327018737791E-2</v>
      </c>
      <c r="P263" s="4">
        <v>9.4394207000732422E-2</v>
      </c>
      <c r="Q263" s="4">
        <v>5.9994640350341799E-2</v>
      </c>
      <c r="R263" s="4">
        <v>9.3505115509033204E-2</v>
      </c>
      <c r="S263" s="4">
        <v>0.16</v>
      </c>
      <c r="T263" s="23" t="s">
        <v>47</v>
      </c>
      <c r="W263" s="10"/>
      <c r="X263" s="6"/>
      <c r="Y263" s="11">
        <v>8.1929783736039532</v>
      </c>
      <c r="Z263" s="21">
        <v>-0.21130136017216899</v>
      </c>
      <c r="AF263" s="21">
        <v>-0.21130136017216899</v>
      </c>
    </row>
    <row r="264" spans="11:32" x14ac:dyDescent="0.25">
      <c r="L264">
        <f t="shared" si="20"/>
        <v>10</v>
      </c>
      <c r="M264" s="9">
        <v>0.06</v>
      </c>
      <c r="N264" s="4">
        <v>7.7264747619628912E-2</v>
      </c>
      <c r="O264" s="4">
        <v>6.3269572257995607E-2</v>
      </c>
      <c r="P264" s="4">
        <v>9.4656372070312494E-2</v>
      </c>
      <c r="Q264" s="4">
        <v>5.9994640350341799E-2</v>
      </c>
      <c r="R264" s="4">
        <v>9.1138401031494135E-2</v>
      </c>
      <c r="S264" s="4">
        <v>0.16</v>
      </c>
      <c r="T264" s="23" t="s">
        <v>47</v>
      </c>
      <c r="W264" s="10"/>
      <c r="X264" s="6"/>
      <c r="Y264" s="11">
        <v>8.2176891974578226</v>
      </c>
      <c r="Z264" s="21">
        <v>-0.130547845551203</v>
      </c>
      <c r="AF264" s="21">
        <v>-0.130547845551203</v>
      </c>
    </row>
    <row r="265" spans="11:32" x14ac:dyDescent="0.25">
      <c r="L265">
        <f t="shared" si="20"/>
        <v>11</v>
      </c>
      <c r="M265" s="9">
        <v>0.06</v>
      </c>
      <c r="N265" s="4">
        <v>7.6514797210693361E-2</v>
      </c>
      <c r="O265" s="4">
        <v>6.2934322357177733E-2</v>
      </c>
      <c r="P265" s="4">
        <v>9.4957876205444339E-2</v>
      </c>
      <c r="Q265" s="4">
        <v>5.9994640350341799E-2</v>
      </c>
      <c r="R265" s="4">
        <v>8.8172349929809574E-2</v>
      </c>
      <c r="S265" s="4">
        <v>0.16</v>
      </c>
      <c r="T265" s="23" t="s">
        <v>47</v>
      </c>
      <c r="W265" s="10"/>
      <c r="X265" s="6"/>
      <c r="Y265" s="11">
        <v>8.5051813203367743</v>
      </c>
      <c r="Z265" s="21">
        <v>-8.6195870138555702E-5</v>
      </c>
      <c r="AF265" s="21">
        <v>-8.6195870138555702E-5</v>
      </c>
    </row>
    <row r="266" spans="11:32" x14ac:dyDescent="0.25">
      <c r="L266">
        <f t="shared" si="20"/>
        <v>12</v>
      </c>
      <c r="M266" s="9">
        <v>0.06</v>
      </c>
      <c r="N266" s="4">
        <v>7.5349779129028321E-2</v>
      </c>
      <c r="O266" s="4">
        <v>6.1419739723205566E-2</v>
      </c>
      <c r="P266" s="4">
        <v>9.5297136306762689E-2</v>
      </c>
      <c r="Q266" s="4">
        <v>5.9994640350341799E-2</v>
      </c>
      <c r="R266" s="4">
        <v>8.4687604904174804E-2</v>
      </c>
      <c r="S266" s="4">
        <v>0.16</v>
      </c>
      <c r="T266" s="23" t="s">
        <v>47</v>
      </c>
      <c r="W266" s="10">
        <v>13.826662391221145</v>
      </c>
      <c r="X266" s="6">
        <v>13.898176678156847</v>
      </c>
      <c r="Y266" s="11">
        <v>11.001159592533426</v>
      </c>
      <c r="Z266" s="21">
        <v>-5.2832762961146203E-2</v>
      </c>
      <c r="AF266" s="21">
        <v>-5.2832762961146203E-2</v>
      </c>
    </row>
    <row r="267" spans="11:32" x14ac:dyDescent="0.25">
      <c r="K267">
        <f t="shared" ref="K267" si="25">K255+1</f>
        <v>2022</v>
      </c>
      <c r="L267">
        <f t="shared" si="20"/>
        <v>1</v>
      </c>
      <c r="M267" s="9">
        <v>6.5000000000000002E-2</v>
      </c>
      <c r="N267" s="4">
        <v>7.8086271286010742E-2</v>
      </c>
      <c r="O267" s="4">
        <v>6.5748887062072756E-2</v>
      </c>
      <c r="P267" s="4">
        <v>9.5672292709350584E-2</v>
      </c>
      <c r="Q267" s="4">
        <v>6.5149455070495604E-2</v>
      </c>
      <c r="R267" s="4">
        <v>8.5774440765380863E-2</v>
      </c>
      <c r="S267" s="4">
        <v>0.16</v>
      </c>
      <c r="T267" s="23" t="s">
        <v>47</v>
      </c>
      <c r="W267" s="10">
        <v>15.116890422693107</v>
      </c>
      <c r="X267" s="6">
        <v>15.541074231575468</v>
      </c>
      <c r="Y267" s="11">
        <v>12.548046919251377</v>
      </c>
      <c r="Z267" s="21">
        <v>-1.6822234126836699E-2</v>
      </c>
      <c r="AF267" s="21">
        <v>-1.6822234126836699E-2</v>
      </c>
    </row>
    <row r="268" spans="11:32" x14ac:dyDescent="0.25">
      <c r="L268">
        <f t="shared" si="20"/>
        <v>2</v>
      </c>
      <c r="M268" s="9">
        <v>6.5000000000000002E-2</v>
      </c>
      <c r="N268" s="4">
        <v>7.7153286933898932E-2</v>
      </c>
      <c r="O268" s="4">
        <v>6.6008629798889162E-2</v>
      </c>
      <c r="P268" s="4">
        <v>9.6081209182739255E-2</v>
      </c>
      <c r="Q268" s="4">
        <v>6.4994640350341804E-2</v>
      </c>
      <c r="R268" s="4">
        <v>8.1528673171997065E-2</v>
      </c>
      <c r="S268" s="4">
        <v>0.16</v>
      </c>
      <c r="T268" s="23" t="s">
        <v>47</v>
      </c>
      <c r="W268" s="10">
        <v>15.316321367910568</v>
      </c>
      <c r="X268" s="6">
        <v>15.429072807860411</v>
      </c>
      <c r="Y268" s="11">
        <v>13.491977968366452</v>
      </c>
      <c r="Z268" s="21">
        <v>0.21951463739590801</v>
      </c>
      <c r="AF268" s="21">
        <v>0.21951463739590801</v>
      </c>
    </row>
    <row r="269" spans="11:32" x14ac:dyDescent="0.25">
      <c r="L269">
        <f t="shared" si="20"/>
        <v>3</v>
      </c>
      <c r="M269" s="9">
        <v>0.09</v>
      </c>
      <c r="N269" s="4">
        <v>9.477237701416015E-2</v>
      </c>
      <c r="O269" s="4">
        <v>8.975141525268554E-2</v>
      </c>
      <c r="P269" s="4">
        <v>9.652153968811035E-2</v>
      </c>
      <c r="Q269" s="4">
        <v>9.0768709182739257E-2</v>
      </c>
      <c r="R269" s="4">
        <v>0.10204782485961914</v>
      </c>
      <c r="S269" s="4" t="s">
        <v>47</v>
      </c>
      <c r="T269" s="23" t="s">
        <v>47</v>
      </c>
      <c r="W269" s="10">
        <v>15.743917179885504</v>
      </c>
      <c r="X269" s="6">
        <v>15.890878288282305</v>
      </c>
      <c r="Y269" s="11">
        <v>13.254794071009002</v>
      </c>
      <c r="Z269" s="21">
        <v>-7.7678442637151596E-2</v>
      </c>
      <c r="AF269" s="21">
        <v>-7.7678442637151596E-2</v>
      </c>
    </row>
    <row r="270" spans="11:32" x14ac:dyDescent="0.25">
      <c r="L270">
        <f t="shared" si="20"/>
        <v>4</v>
      </c>
      <c r="M270" s="9">
        <v>0.09</v>
      </c>
      <c r="N270" s="4">
        <v>9.4780578613281249E-2</v>
      </c>
      <c r="O270" s="4">
        <v>9.4709033966064449E-2</v>
      </c>
      <c r="P270" s="4">
        <v>9.6990671157836911E-2</v>
      </c>
      <c r="Q270" s="4">
        <v>8.9994640350341798E-2</v>
      </c>
      <c r="R270" s="4">
        <v>9.7427988052368159E-2</v>
      </c>
      <c r="S270" s="4" t="s">
        <v>47</v>
      </c>
      <c r="T270" s="23" t="s">
        <v>47</v>
      </c>
      <c r="W270" s="10">
        <v>15.946076606260885</v>
      </c>
      <c r="X270" s="6">
        <v>15.685781423557144</v>
      </c>
      <c r="Y270" s="11">
        <v>14.91209327987093</v>
      </c>
      <c r="Z270" s="21">
        <v>-1.49572942951628E-2</v>
      </c>
      <c r="AF270" s="21">
        <v>-1.49572942951628E-2</v>
      </c>
    </row>
    <row r="271" spans="11:32" x14ac:dyDescent="0.25">
      <c r="L271">
        <f t="shared" si="20"/>
        <v>5</v>
      </c>
      <c r="M271" s="9">
        <v>0.09</v>
      </c>
      <c r="N271" s="4">
        <v>9.4052972793579104E-2</v>
      </c>
      <c r="O271" s="4">
        <v>9.5970077514648436E-2</v>
      </c>
      <c r="P271" s="4">
        <v>9.7485952377319329E-2</v>
      </c>
      <c r="Q271" s="4">
        <v>8.9994640350341798E-2</v>
      </c>
      <c r="R271" s="4">
        <v>9.2761211395263665E-2</v>
      </c>
      <c r="S271" s="4" t="s">
        <v>47</v>
      </c>
      <c r="T271" s="23" t="s">
        <v>47</v>
      </c>
      <c r="W271" s="10">
        <v>16.236016203012092</v>
      </c>
      <c r="X271" s="6">
        <v>16.200938258943154</v>
      </c>
      <c r="Y271" s="11">
        <v>15.293920459172107</v>
      </c>
      <c r="Z271" s="21">
        <v>0.18466266878083601</v>
      </c>
      <c r="AF271" s="21">
        <v>0.18466266878083601</v>
      </c>
    </row>
    <row r="272" spans="11:32" x14ac:dyDescent="0.25">
      <c r="L272">
        <f t="shared" ref="L272:L300" si="26">L260</f>
        <v>6</v>
      </c>
      <c r="M272" s="9">
        <v>0.1</v>
      </c>
      <c r="N272" s="4">
        <v>0.10089577674865723</v>
      </c>
      <c r="O272" s="4">
        <v>0.10714037895202637</v>
      </c>
      <c r="P272" s="4">
        <v>9.8004665374755856E-2</v>
      </c>
      <c r="Q272" s="4">
        <v>0.10030426979064941</v>
      </c>
      <c r="R272" s="4">
        <v>9.813380241394043E-2</v>
      </c>
      <c r="S272" s="4" t="s">
        <v>47</v>
      </c>
      <c r="T272" s="23" t="s">
        <v>47</v>
      </c>
      <c r="W272" s="10">
        <v>16.946236554332362</v>
      </c>
      <c r="X272" s="6">
        <v>16.591769171525584</v>
      </c>
      <c r="Y272" s="11">
        <v>14.994154633355761</v>
      </c>
      <c r="Z272" s="21">
        <v>0.17530805977082101</v>
      </c>
      <c r="AF272" s="21">
        <v>0.17530805977082101</v>
      </c>
    </row>
    <row r="273" spans="11:32" x14ac:dyDescent="0.25">
      <c r="L273">
        <f t="shared" si="26"/>
        <v>7</v>
      </c>
      <c r="M273" s="9">
        <v>0.1</v>
      </c>
      <c r="N273" s="4">
        <v>9.9773807525634764E-2</v>
      </c>
      <c r="O273" s="4">
        <v>0.10693135261535644</v>
      </c>
      <c r="P273" s="4">
        <v>9.8544054031372064E-2</v>
      </c>
      <c r="Q273" s="4">
        <v>9.9994640350341793E-2</v>
      </c>
      <c r="R273" s="4">
        <v>9.3625202178955078E-2</v>
      </c>
      <c r="S273" s="4" t="s">
        <v>47</v>
      </c>
      <c r="T273" s="23" t="s">
        <v>47</v>
      </c>
      <c r="W273" s="10">
        <v>16.449356455983221</v>
      </c>
      <c r="X273" s="6">
        <v>15.811378458786729</v>
      </c>
      <c r="Y273" s="11">
        <v>15.586812870754363</v>
      </c>
      <c r="Z273" s="21">
        <v>-1.6900748265631E-3</v>
      </c>
      <c r="AF273" s="21">
        <v>-1.6900748265631E-3</v>
      </c>
    </row>
    <row r="274" spans="11:32" x14ac:dyDescent="0.25">
      <c r="L274">
        <f t="shared" si="26"/>
        <v>8</v>
      </c>
      <c r="M274" s="9">
        <v>0.1</v>
      </c>
      <c r="N274" s="4">
        <v>9.8726739883422857E-2</v>
      </c>
      <c r="O274" s="4">
        <v>0.10650324821472168</v>
      </c>
      <c r="P274" s="4">
        <v>9.9101371765136725E-2</v>
      </c>
      <c r="Q274" s="4">
        <v>9.9994640350341793E-2</v>
      </c>
      <c r="R274" s="4">
        <v>8.9307689666748041E-2</v>
      </c>
      <c r="S274" s="4" t="s">
        <v>47</v>
      </c>
      <c r="T274" s="23" t="s">
        <v>47</v>
      </c>
      <c r="W274" s="10">
        <v>14.425809606880847</v>
      </c>
      <c r="X274" s="6">
        <v>14.838744908253299</v>
      </c>
      <c r="Y274" s="11">
        <v>15.13639405226006</v>
      </c>
      <c r="Z274" s="21">
        <v>-4.8544346503967203E-2</v>
      </c>
      <c r="AF274" s="21">
        <v>-4.8544346503967203E-2</v>
      </c>
    </row>
    <row r="275" spans="11:32" x14ac:dyDescent="0.25">
      <c r="L275">
        <f t="shared" si="26"/>
        <v>9</v>
      </c>
      <c r="M275" s="9">
        <v>0.12</v>
      </c>
      <c r="N275" s="4">
        <v>0.11292705535888672</v>
      </c>
      <c r="O275" s="4">
        <v>0.1261740207672119</v>
      </c>
      <c r="P275" s="4">
        <v>9.9673862457275386E-2</v>
      </c>
      <c r="Q275" s="4">
        <v>0.12061389923095703</v>
      </c>
      <c r="R275" s="4">
        <v>0.10524641990661621</v>
      </c>
      <c r="S275" s="4" t="s">
        <v>47</v>
      </c>
      <c r="T275" s="23">
        <v>0.16</v>
      </c>
      <c r="W275" s="10">
        <v>13.826953899939888</v>
      </c>
      <c r="X275" s="6">
        <v>14.02941851155366</v>
      </c>
      <c r="Y275" s="11">
        <v>14.641259183230959</v>
      </c>
      <c r="Z275" s="21">
        <v>8.5681004676819605E-2</v>
      </c>
      <c r="AF275" s="21">
        <v>8.5681004676819605E-2</v>
      </c>
    </row>
    <row r="276" spans="11:32" x14ac:dyDescent="0.25">
      <c r="L276">
        <f t="shared" si="26"/>
        <v>10</v>
      </c>
      <c r="M276" s="9">
        <v>0.12</v>
      </c>
      <c r="N276" s="4">
        <v>0.11215775489807128</v>
      </c>
      <c r="O276" s="4">
        <v>0.1268775749206543</v>
      </c>
      <c r="P276" s="4">
        <v>0.10025880813598632</v>
      </c>
      <c r="Q276" s="4">
        <v>0.1199946403503418</v>
      </c>
      <c r="R276" s="4">
        <v>0.10149998664855957</v>
      </c>
      <c r="S276" s="4" t="s">
        <v>47</v>
      </c>
      <c r="T276" s="23">
        <v>0.16</v>
      </c>
      <c r="W276" s="10">
        <v>14.463490540997515</v>
      </c>
      <c r="X276" s="6">
        <v>14.627769744199881</v>
      </c>
      <c r="Y276" s="11">
        <v>14.708758217038032</v>
      </c>
      <c r="Z276" s="21">
        <v>-3.11070164459906E-2</v>
      </c>
      <c r="AF276" s="21">
        <v>-3.11070164459906E-2</v>
      </c>
    </row>
    <row r="277" spans="11:32" x14ac:dyDescent="0.25">
      <c r="L277">
        <f t="shared" si="26"/>
        <v>11</v>
      </c>
      <c r="M277" s="9">
        <v>0.12</v>
      </c>
      <c r="N277" s="4">
        <v>0.1117794418334961</v>
      </c>
      <c r="O277" s="4">
        <v>0.12814850807189943</v>
      </c>
      <c r="P277" s="4">
        <v>0.10085363388061523</v>
      </c>
      <c r="Q277" s="4">
        <v>0.1199946403503418</v>
      </c>
      <c r="R277" s="4">
        <v>9.81209945678711E-2</v>
      </c>
      <c r="S277" s="4" t="s">
        <v>47</v>
      </c>
      <c r="T277" s="23">
        <v>0.16</v>
      </c>
      <c r="W277" s="10">
        <v>14.547442070417738</v>
      </c>
      <c r="X277" s="3">
        <v>14.541223929437109</v>
      </c>
      <c r="Y277" s="11">
        <v>15.335135996513749</v>
      </c>
      <c r="Z277" s="21">
        <v>-0.195571223453021</v>
      </c>
      <c r="AF277" s="21">
        <v>-0.195571223453021</v>
      </c>
    </row>
    <row r="278" spans="11:32" x14ac:dyDescent="0.25">
      <c r="L278">
        <f t="shared" si="26"/>
        <v>12</v>
      </c>
      <c r="M278" s="9">
        <v>0.13</v>
      </c>
      <c r="N278" s="4">
        <v>0.1189434814453125</v>
      </c>
      <c r="O278" s="4">
        <v>0.13885704040527344</v>
      </c>
      <c r="P278" s="4">
        <v>0.10145590782165527</v>
      </c>
      <c r="Q278" s="4">
        <v>0.13030426979064941</v>
      </c>
      <c r="R278" s="4">
        <v>0.10515668869018555</v>
      </c>
      <c r="S278" s="4" t="s">
        <v>47</v>
      </c>
      <c r="T278" s="23">
        <v>0.16</v>
      </c>
      <c r="W278" s="10">
        <v>13.243321323966995</v>
      </c>
      <c r="X278" s="3">
        <v>12.859791818843757</v>
      </c>
      <c r="Y278" s="11">
        <v>13.450269743911903</v>
      </c>
      <c r="Z278" s="21">
        <v>-0.200710853317387</v>
      </c>
      <c r="AF278" s="21">
        <v>-0.200710853317387</v>
      </c>
    </row>
    <row r="279" spans="11:32" x14ac:dyDescent="0.25">
      <c r="K279">
        <f t="shared" ref="K279" si="27">K267+1</f>
        <v>2023</v>
      </c>
      <c r="L279">
        <f t="shared" si="26"/>
        <v>1</v>
      </c>
      <c r="M279" s="9">
        <v>0.13</v>
      </c>
      <c r="N279" s="4">
        <v>0.11816921234130859</v>
      </c>
      <c r="O279" s="4">
        <v>0.1379694938659668</v>
      </c>
      <c r="P279" s="4">
        <v>0.1020633602142334</v>
      </c>
      <c r="Q279" s="4">
        <v>0.12999464035034181</v>
      </c>
      <c r="R279" s="4">
        <v>0.10264933586120606</v>
      </c>
      <c r="S279" s="4" t="s">
        <v>47</v>
      </c>
      <c r="T279" s="23">
        <v>0.16</v>
      </c>
      <c r="W279" s="10">
        <v>12.331917873203935</v>
      </c>
      <c r="X279" s="3">
        <v>11.986477043120436</v>
      </c>
      <c r="Y279" s="11">
        <v>12.968109793387338</v>
      </c>
      <c r="Z279" s="21">
        <v>0.21868049501804401</v>
      </c>
      <c r="AF279" s="21">
        <v>0.21868049501804401</v>
      </c>
    </row>
    <row r="280" spans="11:32" x14ac:dyDescent="0.25">
      <c r="L280">
        <f t="shared" si="26"/>
        <v>2</v>
      </c>
      <c r="M280" s="9">
        <v>0.13</v>
      </c>
      <c r="N280" s="4">
        <v>0.11756513595581054</v>
      </c>
      <c r="O280" s="4">
        <v>0.13695569992065429</v>
      </c>
      <c r="P280" s="4">
        <v>0.10267394065856933</v>
      </c>
      <c r="Q280" s="4">
        <v>0.12999464035034181</v>
      </c>
      <c r="R280" s="4">
        <v>0.10063626289367676</v>
      </c>
      <c r="S280" s="4" t="s">
        <v>47</v>
      </c>
      <c r="T280" s="23">
        <v>0.16</v>
      </c>
      <c r="W280" s="10">
        <v>12.184532047577612</v>
      </c>
      <c r="X280" s="3">
        <v>12.066453769609442</v>
      </c>
      <c r="Y280" s="11">
        <v>12.641224539028762</v>
      </c>
      <c r="Z280" s="21">
        <v>0.39972179834709698</v>
      </c>
      <c r="AF280" s="21">
        <v>0.39972179834709698</v>
      </c>
    </row>
    <row r="281" spans="11:32" x14ac:dyDescent="0.25">
      <c r="L281">
        <f t="shared" si="26"/>
        <v>3</v>
      </c>
      <c r="M281" s="9">
        <v>0.13</v>
      </c>
      <c r="N281" s="4">
        <v>0.11719285011291504</v>
      </c>
      <c r="O281" s="4">
        <v>0.13634150505065917</v>
      </c>
      <c r="P281" s="4">
        <v>0.10328579902648925</v>
      </c>
      <c r="Q281" s="4">
        <v>0.12999464035034181</v>
      </c>
      <c r="R281" s="4">
        <v>9.9149465560913086E-2</v>
      </c>
      <c r="S281" s="4" t="s">
        <v>47</v>
      </c>
      <c r="T281" s="23">
        <v>0.16</v>
      </c>
      <c r="W281" s="10">
        <v>12.233205886118647</v>
      </c>
      <c r="X281" s="3">
        <v>12.109492765387774</v>
      </c>
      <c r="Y281" s="11">
        <v>13.082889879039605</v>
      </c>
      <c r="Z281" s="21">
        <v>8.5349551218269794E-3</v>
      </c>
      <c r="AF281" s="21">
        <v>8.5349551218269794E-3</v>
      </c>
    </row>
    <row r="282" spans="11:32" x14ac:dyDescent="0.25">
      <c r="L282">
        <f t="shared" si="26"/>
        <v>4</v>
      </c>
      <c r="M282" s="9">
        <v>0.13</v>
      </c>
      <c r="N282" s="4">
        <v>0.11658098220825196</v>
      </c>
      <c r="O282" s="4">
        <v>0.13421722412109374</v>
      </c>
      <c r="P282" s="4">
        <v>0.10389730453491211</v>
      </c>
      <c r="Q282" s="4">
        <v>0.12999464035034181</v>
      </c>
      <c r="R282" s="4">
        <v>9.8214778900146488E-2</v>
      </c>
      <c r="S282" s="4" t="s">
        <v>47</v>
      </c>
      <c r="T282" s="23">
        <v>0.16</v>
      </c>
      <c r="W282" s="10">
        <v>11.160132849423787</v>
      </c>
      <c r="X282" s="3">
        <v>10.883467141254833</v>
      </c>
      <c r="Y282" s="11">
        <v>12.421741242570207</v>
      </c>
      <c r="Z282" s="21">
        <v>-0.15288229288427799</v>
      </c>
      <c r="AF282" s="21">
        <v>-0.15288229288427799</v>
      </c>
    </row>
    <row r="283" spans="11:32" x14ac:dyDescent="0.25">
      <c r="L283">
        <f t="shared" si="26"/>
        <v>5</v>
      </c>
      <c r="M283" s="9">
        <v>0.13</v>
      </c>
      <c r="N283" s="4">
        <v>0.11605034828186035</v>
      </c>
      <c r="O283" s="4">
        <v>0.1318490982055664</v>
      </c>
      <c r="P283" s="4">
        <v>0.10450704574584961</v>
      </c>
      <c r="Q283" s="4">
        <v>0.12999464035034181</v>
      </c>
      <c r="R283" s="4">
        <v>9.7850608825683597E-2</v>
      </c>
      <c r="S283" s="4" t="s">
        <v>47</v>
      </c>
      <c r="T283" s="23">
        <v>0.16</v>
      </c>
      <c r="W283" s="10">
        <v>11.29345742640162</v>
      </c>
      <c r="X283" s="3">
        <v>10.812625359823125</v>
      </c>
      <c r="Y283" s="11">
        <v>11.783799266674055</v>
      </c>
      <c r="Z283" s="21">
        <v>-0.234862403312738</v>
      </c>
      <c r="AF283" s="21">
        <v>-0.234862403312738</v>
      </c>
    </row>
    <row r="284" spans="11:32" x14ac:dyDescent="0.25">
      <c r="L284">
        <f t="shared" si="26"/>
        <v>6</v>
      </c>
      <c r="M284" s="9">
        <v>0.13</v>
      </c>
      <c r="N284" s="4">
        <v>0.11557723999023438</v>
      </c>
      <c r="O284" s="4">
        <v>0.12913421630859376</v>
      </c>
      <c r="P284" s="4">
        <v>0.10511380195617676</v>
      </c>
      <c r="Q284" s="4">
        <v>0.12999464035034181</v>
      </c>
      <c r="R284" s="4">
        <v>9.8066310882568355E-2</v>
      </c>
      <c r="S284" s="4" t="s">
        <v>47</v>
      </c>
      <c r="T284" s="23">
        <v>0.16</v>
      </c>
      <c r="W284" s="10">
        <v>10.64384365003994</v>
      </c>
      <c r="X284" s="3">
        <v>10.429833677384526</v>
      </c>
      <c r="Y284" s="11">
        <v>11.343027411046558</v>
      </c>
      <c r="Z284" s="21">
        <v>-0.20436214687708301</v>
      </c>
      <c r="AF284" s="21">
        <v>-0.20436214687708301</v>
      </c>
    </row>
    <row r="285" spans="11:32" x14ac:dyDescent="0.25">
      <c r="L285">
        <f t="shared" si="26"/>
        <v>7</v>
      </c>
      <c r="M285" s="9">
        <v>0.13</v>
      </c>
      <c r="N285" s="4">
        <v>0.11579505920410156</v>
      </c>
      <c r="O285" s="4">
        <v>0.12860864639282227</v>
      </c>
      <c r="P285" s="4">
        <v>0.10571653366088868</v>
      </c>
      <c r="Q285" s="4">
        <v>0.12999464035034181</v>
      </c>
      <c r="R285" s="4">
        <v>9.8860406875610346E-2</v>
      </c>
      <c r="S285" s="4" t="s">
        <v>47</v>
      </c>
      <c r="T285" s="23">
        <v>0.16</v>
      </c>
      <c r="W285" s="10">
        <v>9.1891224121650072</v>
      </c>
      <c r="X285" s="3">
        <v>9.4179012270157791</v>
      </c>
      <c r="Y285" s="11">
        <v>11.237513891003804</v>
      </c>
      <c r="Z285" s="21">
        <v>-5.5448572496282302E-2</v>
      </c>
      <c r="AF285" s="21">
        <v>-5.5448572496282302E-2</v>
      </c>
    </row>
    <row r="286" spans="11:32" x14ac:dyDescent="0.25">
      <c r="L286">
        <f t="shared" si="26"/>
        <v>8</v>
      </c>
      <c r="M286" s="9">
        <v>0.13</v>
      </c>
      <c r="N286" s="4">
        <v>0.11614353179931641</v>
      </c>
      <c r="O286" s="4">
        <v>0.12804626464843749</v>
      </c>
      <c r="P286" s="4">
        <v>0.10631442070007324</v>
      </c>
      <c r="Q286" s="4">
        <v>0.12999464035034181</v>
      </c>
      <c r="R286" s="4">
        <v>0.10021879196166993</v>
      </c>
      <c r="S286" s="4" t="s">
        <v>47</v>
      </c>
      <c r="T286" s="23">
        <v>0.16</v>
      </c>
      <c r="W286" s="10">
        <v>10.015672592001955</v>
      </c>
      <c r="X286" s="3">
        <v>10.014185153789356</v>
      </c>
      <c r="Y286" s="11">
        <v>11.532903127346827</v>
      </c>
      <c r="Z286" s="21">
        <v>2.97737569880712E-2</v>
      </c>
      <c r="AF286" s="21">
        <v>2.97737569880712E-2</v>
      </c>
    </row>
    <row r="287" spans="11:32" x14ac:dyDescent="0.25">
      <c r="L287">
        <f t="shared" si="26"/>
        <v>9</v>
      </c>
      <c r="M287" s="9">
        <v>0.13</v>
      </c>
      <c r="N287" s="4">
        <v>0.11659249305725097</v>
      </c>
      <c r="O287" s="4">
        <v>0.12735541343688964</v>
      </c>
      <c r="P287" s="4">
        <v>0.10690681457519531</v>
      </c>
      <c r="Q287" s="4">
        <v>0.12999464035034181</v>
      </c>
      <c r="R287" s="4">
        <v>0.10211309432983398</v>
      </c>
      <c r="S287" s="4" t="s">
        <v>47</v>
      </c>
      <c r="T287" s="23">
        <v>0.16</v>
      </c>
      <c r="W287" s="10">
        <v>10.060467561619134</v>
      </c>
      <c r="X287" s="3">
        <v>10.241309150999811</v>
      </c>
      <c r="Y287" s="11">
        <v>11.325856243134336</v>
      </c>
      <c r="Z287" s="21">
        <v>7.0840702584376802E-2</v>
      </c>
      <c r="AF287" s="21">
        <v>7.0840702584376802E-2</v>
      </c>
    </row>
    <row r="288" spans="11:32" x14ac:dyDescent="0.25">
      <c r="L288">
        <f t="shared" si="26"/>
        <v>10</v>
      </c>
      <c r="M288" s="9">
        <v>0.13</v>
      </c>
      <c r="N288" s="4">
        <v>0.11719020843505859</v>
      </c>
      <c r="O288" s="4">
        <v>0.1267733383178711</v>
      </c>
      <c r="P288" s="4">
        <v>0.10749325752258301</v>
      </c>
      <c r="Q288" s="4">
        <v>0.12999464035034181</v>
      </c>
      <c r="R288" s="4">
        <v>0.10449958801269531</v>
      </c>
      <c r="S288" s="4" t="s">
        <v>47</v>
      </c>
      <c r="T288" s="23">
        <v>0.16</v>
      </c>
      <c r="W288" s="10">
        <v>8.958697461292676</v>
      </c>
      <c r="X288" s="3">
        <v>9.4130932413412971</v>
      </c>
      <c r="Y288" s="11">
        <v>10.416555857809762</v>
      </c>
      <c r="Z288" s="21">
        <v>7.9625896688067493E-2</v>
      </c>
      <c r="AF288" s="21">
        <v>7.9625896688067493E-2</v>
      </c>
    </row>
    <row r="289" spans="11:32" x14ac:dyDescent="0.25">
      <c r="L289">
        <f t="shared" si="26"/>
        <v>11</v>
      </c>
      <c r="M289" s="9">
        <v>0.13</v>
      </c>
      <c r="N289" s="4">
        <v>0.1181671142578125</v>
      </c>
      <c r="O289" s="4">
        <v>0.12728171348571776</v>
      </c>
      <c r="P289" s="4">
        <v>0.10807346343994141</v>
      </c>
      <c r="Q289" s="4">
        <v>0.12999464035034181</v>
      </c>
      <c r="R289" s="4">
        <v>0.10731865882873536</v>
      </c>
      <c r="S289" s="4" t="s">
        <v>47</v>
      </c>
      <c r="T289" s="23">
        <v>0.16</v>
      </c>
      <c r="W289" s="10">
        <v>8.5842164229654969</v>
      </c>
      <c r="X289" s="3">
        <v>9.370120268511295</v>
      </c>
      <c r="Y289" s="11">
        <v>9.6748375616830593</v>
      </c>
      <c r="Z289" s="21">
        <v>0.112428236556568</v>
      </c>
      <c r="AF289" s="21">
        <v>0.112428236556568</v>
      </c>
    </row>
    <row r="290" spans="11:32" x14ac:dyDescent="0.25">
      <c r="L290">
        <f t="shared" si="26"/>
        <v>12</v>
      </c>
      <c r="M290" s="9">
        <v>0.13</v>
      </c>
      <c r="N290" s="4">
        <v>0.11909662246704102</v>
      </c>
      <c r="O290" s="4">
        <v>0.12724946022033692</v>
      </c>
      <c r="P290" s="4">
        <v>0.10864731788635254</v>
      </c>
      <c r="Q290" s="4">
        <v>0.12999464035034181</v>
      </c>
      <c r="R290" s="4">
        <v>0.11049509048461914</v>
      </c>
      <c r="S290" s="4" t="s">
        <v>47</v>
      </c>
      <c r="T290" s="23">
        <v>0.16</v>
      </c>
      <c r="W290" s="10">
        <v>7.9239219970444807</v>
      </c>
      <c r="X290" s="3">
        <v>8.6288884805786772</v>
      </c>
      <c r="Y290" s="11">
        <v>8.8503944597138062</v>
      </c>
      <c r="Z290" s="21">
        <v>1.8457632378749099E-3</v>
      </c>
      <c r="AF290" s="21">
        <v>1.8457632378749099E-3</v>
      </c>
    </row>
    <row r="291" spans="11:32" x14ac:dyDescent="0.25">
      <c r="K291">
        <f t="shared" ref="K291" si="28">K279+1</f>
        <v>2024</v>
      </c>
      <c r="L291">
        <f t="shared" si="26"/>
        <v>1</v>
      </c>
      <c r="M291" s="9">
        <v>0.13</v>
      </c>
      <c r="N291" s="4">
        <v>0.12029397010803222</v>
      </c>
      <c r="O291" s="4">
        <v>0.1280270004272461</v>
      </c>
      <c r="P291" s="4">
        <v>0.1092148780822754</v>
      </c>
      <c r="Q291" s="4">
        <v>0.12999464035034181</v>
      </c>
      <c r="R291" s="4">
        <v>0.11393937110900879</v>
      </c>
      <c r="S291" s="4" t="s">
        <v>47</v>
      </c>
      <c r="T291" s="23">
        <v>0.16</v>
      </c>
      <c r="W291" s="10">
        <v>6.7261549095261497</v>
      </c>
      <c r="X291" s="3">
        <v>7.2230110135489634</v>
      </c>
      <c r="Y291" s="11">
        <v>7.0520326944553791</v>
      </c>
      <c r="Z291" s="21">
        <v>7.62168238380517E-2</v>
      </c>
      <c r="AF291" s="21">
        <v>7.62168238380517E-2</v>
      </c>
    </row>
    <row r="292" spans="11:32" x14ac:dyDescent="0.25">
      <c r="L292">
        <f t="shared" si="26"/>
        <v>2</v>
      </c>
      <c r="M292" s="9">
        <v>0.13</v>
      </c>
      <c r="N292" s="4">
        <v>0.12131109237670898</v>
      </c>
      <c r="O292" s="4">
        <v>0.1279233455657959</v>
      </c>
      <c r="P292" s="4">
        <v>0.10977636337280273</v>
      </c>
      <c r="Q292" s="4">
        <v>0.12999464035034181</v>
      </c>
      <c r="R292" s="4">
        <v>0.11755001068115234</v>
      </c>
      <c r="S292" s="4" t="s">
        <v>47</v>
      </c>
      <c r="T292" s="23">
        <v>0.16</v>
      </c>
      <c r="W292" s="10">
        <v>6.2539160149069462</v>
      </c>
      <c r="X292" s="3">
        <v>6.335212472200058</v>
      </c>
      <c r="Y292" s="11">
        <v>6.4547811661381571</v>
      </c>
      <c r="Z292" s="21">
        <v>1.1864747698560601E-3</v>
      </c>
      <c r="AF292" s="21">
        <v>1.1864747698560601E-3</v>
      </c>
    </row>
    <row r="293" spans="11:32" x14ac:dyDescent="0.25">
      <c r="L293">
        <f t="shared" si="26"/>
        <v>3</v>
      </c>
      <c r="M293" s="9">
        <v>0.12</v>
      </c>
      <c r="N293" s="4">
        <v>0.11466854095458984</v>
      </c>
      <c r="O293" s="4">
        <v>0.11744017601013183</v>
      </c>
      <c r="P293" s="4">
        <v>0.11033217430114746</v>
      </c>
      <c r="Q293" s="4">
        <v>0.11968501091003418</v>
      </c>
      <c r="R293" s="4">
        <v>0.11121679306030273</v>
      </c>
      <c r="S293" s="4" t="s">
        <v>47</v>
      </c>
      <c r="T293" s="23">
        <v>0.16</v>
      </c>
      <c r="W293" s="10">
        <v>6.1759547550654936</v>
      </c>
      <c r="X293" s="3">
        <v>6.007850140971871</v>
      </c>
      <c r="Y293" s="11">
        <v>6.3711621927575068</v>
      </c>
      <c r="Z293" s="21">
        <v>4.17422846886109E-3</v>
      </c>
      <c r="AF293" s="21">
        <v>4.17422846886109E-3</v>
      </c>
    </row>
    <row r="294" spans="11:32" x14ac:dyDescent="0.25">
      <c r="L294">
        <f t="shared" si="26"/>
        <v>4</v>
      </c>
      <c r="M294" s="9">
        <v>0.12</v>
      </c>
      <c r="N294" s="4">
        <v>0.11581016540527343</v>
      </c>
      <c r="O294" s="4">
        <v>0.11753813743591308</v>
      </c>
      <c r="P294" s="4">
        <v>0.11088284492492675</v>
      </c>
      <c r="Q294" s="4">
        <v>0.1199946403503418</v>
      </c>
      <c r="R294" s="4">
        <v>0.11482503890991211</v>
      </c>
      <c r="S294" s="4" t="s">
        <v>47</v>
      </c>
      <c r="T294" s="23" t="s">
        <v>47</v>
      </c>
      <c r="W294" s="10">
        <v>5.7161185395243841</v>
      </c>
      <c r="X294" s="3">
        <v>5.1636260815420165</v>
      </c>
      <c r="Y294" s="11">
        <v>5.5776975668828221</v>
      </c>
      <c r="Z294" s="21">
        <v>0.14542817718039799</v>
      </c>
      <c r="AF294" s="21">
        <v>0.14542817718039799</v>
      </c>
    </row>
    <row r="295" spans="11:32" x14ac:dyDescent="0.25">
      <c r="L295">
        <f t="shared" si="26"/>
        <v>5</v>
      </c>
      <c r="M295" s="9">
        <v>0.11</v>
      </c>
      <c r="N295" s="4">
        <v>0.10918610572814941</v>
      </c>
      <c r="O295" s="4">
        <v>0.10736993789672851</v>
      </c>
      <c r="P295" s="4">
        <v>0.11142897605895996</v>
      </c>
      <c r="Q295" s="4">
        <v>0.10968501091003419</v>
      </c>
      <c r="R295" s="4">
        <v>0.108260498046875</v>
      </c>
      <c r="S295" s="4" t="s">
        <v>47</v>
      </c>
      <c r="T295" s="23" t="s">
        <v>47</v>
      </c>
      <c r="W295" s="10">
        <v>5.1258653805263066</v>
      </c>
      <c r="X295" s="3">
        <v>4.6970850342257009</v>
      </c>
      <c r="Y295" s="11">
        <v>5.0471708748075272</v>
      </c>
      <c r="Z295" s="21">
        <v>-3.9231787330782399E-2</v>
      </c>
      <c r="AF295" s="21">
        <v>-3.9231787330782399E-2</v>
      </c>
    </row>
    <row r="296" spans="11:32" x14ac:dyDescent="0.25">
      <c r="L296">
        <f t="shared" si="26"/>
        <v>6</v>
      </c>
      <c r="M296" s="9">
        <v>0.11</v>
      </c>
      <c r="N296" s="4">
        <v>0.11038887023925781</v>
      </c>
      <c r="O296" s="4">
        <v>0.10817482948303223</v>
      </c>
      <c r="P296" s="4">
        <v>0.11197127342224121</v>
      </c>
      <c r="Q296" s="4">
        <v>0.1099946403503418</v>
      </c>
      <c r="R296" s="4">
        <v>0.11141472816467285</v>
      </c>
      <c r="S296" s="4" t="s">
        <v>47</v>
      </c>
      <c r="T296" s="23" t="s">
        <v>47</v>
      </c>
      <c r="W296" s="10">
        <v>4.5776346174031479</v>
      </c>
      <c r="X296" s="3">
        <v>3.9748303302413301</v>
      </c>
      <c r="Y296" s="11">
        <v>4.9366649147851493</v>
      </c>
      <c r="Z296" s="21">
        <v>-4.7099699154892198E-2</v>
      </c>
      <c r="AF296" s="21">
        <v>-4.7099699154892198E-2</v>
      </c>
    </row>
    <row r="297" spans="11:32" x14ac:dyDescent="0.25">
      <c r="L297">
        <f t="shared" si="26"/>
        <v>7</v>
      </c>
      <c r="M297" s="9">
        <v>0.11</v>
      </c>
      <c r="N297" s="4">
        <v>0.1113992977142334</v>
      </c>
      <c r="O297" s="4">
        <v>0.10890156745910645</v>
      </c>
      <c r="P297" s="4">
        <v>0.11251038551330567</v>
      </c>
      <c r="Q297" s="4">
        <v>0.1099946403503418</v>
      </c>
      <c r="R297" s="4">
        <v>0.11419058799743652</v>
      </c>
      <c r="S297" s="4" t="s">
        <v>47</v>
      </c>
      <c r="T297" s="23" t="s">
        <v>47</v>
      </c>
      <c r="W297" s="10">
        <v>5.0893479627195815</v>
      </c>
      <c r="X297" s="3">
        <v>4.4096555517565861</v>
      </c>
      <c r="Y297" s="11">
        <v>5.0074721553263091</v>
      </c>
      <c r="Z297" s="21">
        <v>4.2887888994936299E-2</v>
      </c>
      <c r="AF297" s="21">
        <v>4.2887888994936299E-2</v>
      </c>
    </row>
    <row r="298" spans="11:32" x14ac:dyDescent="0.25">
      <c r="L298">
        <f t="shared" si="26"/>
        <v>8</v>
      </c>
      <c r="M298" s="9">
        <v>0.11</v>
      </c>
      <c r="N298" s="4">
        <v>0.11225705146789551</v>
      </c>
      <c r="O298" s="4">
        <v>0.10947909355163574</v>
      </c>
      <c r="P298" s="4">
        <v>0.11304699897766113</v>
      </c>
      <c r="Q298" s="4">
        <v>0.1099946403503418</v>
      </c>
      <c r="R298" s="4">
        <v>0.11650746345520019</v>
      </c>
      <c r="S298" s="4" t="s">
        <v>47</v>
      </c>
      <c r="T298" s="23" t="s">
        <v>47</v>
      </c>
      <c r="W298" s="10">
        <v>6.1338374109629612</v>
      </c>
      <c r="X298" s="3">
        <v>5.7585164916863496</v>
      </c>
      <c r="Y298" s="11">
        <v>5.9974499768206568</v>
      </c>
      <c r="Z298" s="21">
        <v>-9.1842140898546806E-3</v>
      </c>
      <c r="AF298" s="21">
        <v>-9.1842140898546806E-3</v>
      </c>
    </row>
    <row r="299" spans="11:32" x14ac:dyDescent="0.25">
      <c r="L299">
        <f t="shared" si="26"/>
        <v>9</v>
      </c>
      <c r="M299" s="9">
        <v>0.1</v>
      </c>
      <c r="N299" s="4">
        <v>0.10534673690795898</v>
      </c>
      <c r="O299" s="4">
        <v>9.9814281463623047E-2</v>
      </c>
      <c r="P299" s="4">
        <v>0.11358173370361328</v>
      </c>
      <c r="Q299" s="4">
        <v>9.9685010910034177E-2</v>
      </c>
      <c r="R299" s="4">
        <v>0.1083059024810791</v>
      </c>
      <c r="S299" s="4">
        <v>0.16</v>
      </c>
      <c r="T299" s="23" t="s">
        <v>47</v>
      </c>
      <c r="W299" s="10">
        <v>6.3325277002357572</v>
      </c>
      <c r="X299" s="3">
        <v>5.9908001168826663</v>
      </c>
      <c r="Y299" s="11">
        <v>6.2312494324006318</v>
      </c>
      <c r="Z299" s="21">
        <v>2.2508254750787499E-3</v>
      </c>
      <c r="AF299" s="21">
        <v>2.2508254750787499E-3</v>
      </c>
    </row>
    <row r="300" spans="11:32" x14ac:dyDescent="0.25">
      <c r="L300">
        <f t="shared" si="26"/>
        <v>10</v>
      </c>
      <c r="M300" s="9">
        <v>0.1</v>
      </c>
      <c r="N300" s="4">
        <v>0.10558638572692872</v>
      </c>
      <c r="O300" s="4">
        <v>9.8684568405151371E-2</v>
      </c>
      <c r="P300" s="4">
        <v>0.11411520957946777</v>
      </c>
      <c r="Q300" s="4">
        <v>9.9994640350341793E-2</v>
      </c>
      <c r="R300" s="4">
        <v>0.1095511245727539</v>
      </c>
      <c r="S300" s="4">
        <v>0.16</v>
      </c>
      <c r="T300" s="23" t="s">
        <v>47</v>
      </c>
      <c r="W300" s="10">
        <v>6.5745002274041342</v>
      </c>
      <c r="X300" s="3">
        <v>6.3915015791770946</v>
      </c>
      <c r="Y300" s="11">
        <v>6.7116310897677334</v>
      </c>
      <c r="Z300" s="21">
        <v>8.6416727700131396E-2</v>
      </c>
      <c r="AF300" s="21">
        <v>8.6416727700131396E-2</v>
      </c>
    </row>
    <row r="301" spans="11:32" x14ac:dyDescent="0.25">
      <c r="L301">
        <f>L289</f>
        <v>11</v>
      </c>
      <c r="M301" s="9">
        <v>0.1</v>
      </c>
      <c r="N301" s="4">
        <v>0.10532762527465821</v>
      </c>
      <c r="O301" s="4">
        <v>9.6432571411132817E-2</v>
      </c>
      <c r="P301" s="4">
        <v>0.11464793205261231</v>
      </c>
      <c r="Q301" s="4">
        <v>9.9994640350341793E-2</v>
      </c>
      <c r="R301" s="4">
        <v>0.11023535728454589</v>
      </c>
      <c r="S301" s="4">
        <v>0.16</v>
      </c>
      <c r="T301" s="23" t="s">
        <v>47</v>
      </c>
      <c r="W301" s="10">
        <v>7.4058345213378951</v>
      </c>
      <c r="X301" s="3">
        <v>7.1430601034489394</v>
      </c>
      <c r="Y301" s="11">
        <v>6.5344234171156534</v>
      </c>
      <c r="Z301" s="21">
        <v>8.2848590118894699E-2</v>
      </c>
      <c r="AF301" s="21">
        <v>8.2848590118894699E-2</v>
      </c>
    </row>
    <row r="302" spans="11:32" x14ac:dyDescent="0.25">
      <c r="L302">
        <f t="shared" ref="L302:L326" si="29">L290</f>
        <v>12</v>
      </c>
      <c r="M302" s="9">
        <v>0.1</v>
      </c>
      <c r="N302" s="4">
        <v>0.10512535095214844</v>
      </c>
      <c r="O302" s="4">
        <v>9.4947929382324214E-2</v>
      </c>
      <c r="P302" s="4">
        <v>0.1151803207397461</v>
      </c>
      <c r="Q302" s="4">
        <v>9.9994640350341793E-2</v>
      </c>
      <c r="R302" s="4">
        <v>0.11037849426269532</v>
      </c>
      <c r="S302" s="4">
        <v>0.16</v>
      </c>
      <c r="T302" s="23" t="s">
        <v>47</v>
      </c>
      <c r="W302" s="10">
        <v>8.3596540610898273</v>
      </c>
      <c r="X302" s="3">
        <v>8.3101455312190922</v>
      </c>
      <c r="Y302" s="11">
        <v>7.8406631066179511</v>
      </c>
      <c r="Z302" s="21">
        <v>2.9624668338908901E-2</v>
      </c>
      <c r="AF302" s="21">
        <v>2.9624668338908901E-2</v>
      </c>
    </row>
    <row r="303" spans="11:32" x14ac:dyDescent="0.25">
      <c r="K303">
        <f t="shared" ref="K303" si="30">K291+1</f>
        <v>2025</v>
      </c>
      <c r="L303">
        <f t="shared" si="29"/>
        <v>1</v>
      </c>
      <c r="M303" s="9">
        <v>0.1</v>
      </c>
      <c r="N303" s="4">
        <v>0.10502320289611816</v>
      </c>
      <c r="O303" s="4">
        <v>9.4358444213867188E-2</v>
      </c>
      <c r="P303" s="4">
        <v>0.11571265220642089</v>
      </c>
      <c r="Q303" s="4">
        <v>9.9994640350341793E-2</v>
      </c>
      <c r="R303" s="4">
        <v>0.11002707481384277</v>
      </c>
      <c r="S303" s="4">
        <v>0.16</v>
      </c>
      <c r="T303" s="23" t="s">
        <v>47</v>
      </c>
      <c r="W303" s="10">
        <v>8.7329043234427584</v>
      </c>
      <c r="X303" s="3">
        <v>8.8301715721510234</v>
      </c>
      <c r="Y303" s="11">
        <v>8.4530127802793675</v>
      </c>
    </row>
    <row r="304" spans="11:32" x14ac:dyDescent="0.25">
      <c r="L304">
        <f t="shared" si="29"/>
        <v>2</v>
      </c>
      <c r="M304" s="9">
        <v>0.1</v>
      </c>
      <c r="N304" s="4">
        <v>0.10538910865783692</v>
      </c>
      <c r="O304" s="4">
        <v>9.6065130233764645E-2</v>
      </c>
      <c r="P304" s="4">
        <v>0.11624509811401368</v>
      </c>
      <c r="Q304" s="4">
        <v>9.9994640350341793E-2</v>
      </c>
      <c r="R304" s="4">
        <v>0.10925156593322755</v>
      </c>
      <c r="S304" s="4">
        <v>0.16</v>
      </c>
      <c r="T304" s="23" t="s">
        <v>47</v>
      </c>
      <c r="W304" s="10">
        <v>9.5880658622582651</v>
      </c>
      <c r="X304" s="3">
        <v>10.326608795028026</v>
      </c>
      <c r="Y304" s="11">
        <v>9.4403087971250521</v>
      </c>
    </row>
    <row r="305" spans="11:25" x14ac:dyDescent="0.25">
      <c r="L305">
        <f t="shared" si="29"/>
        <v>3</v>
      </c>
      <c r="M305" s="9">
        <v>0.12</v>
      </c>
      <c r="N305" s="4">
        <v>0.12078407287597656</v>
      </c>
      <c r="O305" s="4">
        <v>0.11760263442993164</v>
      </c>
      <c r="P305" s="4">
        <v>0.11677770614624024</v>
      </c>
      <c r="Q305" s="4">
        <v>0.12061389923095703</v>
      </c>
      <c r="R305" s="4">
        <v>0.12814205169677734</v>
      </c>
      <c r="S305" s="4" t="s">
        <v>47</v>
      </c>
      <c r="T305" s="23" t="s">
        <v>47</v>
      </c>
      <c r="W305" s="10">
        <v>9.1352760139407287</v>
      </c>
      <c r="X305" s="3">
        <v>10.107038145189629</v>
      </c>
      <c r="Y305" s="11">
        <v>9.1160325051242488</v>
      </c>
    </row>
    <row r="306" spans="11:25" x14ac:dyDescent="0.25">
      <c r="L306">
        <f t="shared" si="29"/>
        <v>4</v>
      </c>
      <c r="M306" s="9">
        <v>0.12</v>
      </c>
      <c r="N306" s="4">
        <v>0.12164512634277344</v>
      </c>
      <c r="O306" s="4">
        <v>0.1224728775024414</v>
      </c>
      <c r="P306" s="4">
        <v>0.11731040954589844</v>
      </c>
      <c r="Q306" s="4">
        <v>0.1199946403503418</v>
      </c>
      <c r="R306" s="4">
        <v>0.12680255889892578</v>
      </c>
      <c r="W306" s="10">
        <v>8.6424215838511778</v>
      </c>
      <c r="X306" s="3">
        <v>9.8406767517524862</v>
      </c>
      <c r="Y306" s="11">
        <v>8.9331759173197902</v>
      </c>
    </row>
    <row r="307" spans="11:25" x14ac:dyDescent="0.25">
      <c r="L307">
        <f t="shared" si="29"/>
        <v>5</v>
      </c>
      <c r="M307" s="9">
        <v>0.12</v>
      </c>
      <c r="N307" s="4">
        <v>0.12138116836547852</v>
      </c>
      <c r="O307" s="4">
        <v>0.12234245300292969</v>
      </c>
      <c r="P307" s="4">
        <v>0.1178431510925293</v>
      </c>
      <c r="Q307" s="4">
        <v>0.1199946403503418</v>
      </c>
      <c r="R307" s="4">
        <v>0.12534441947937011</v>
      </c>
      <c r="W307" s="10">
        <v>8.2917016748004446</v>
      </c>
      <c r="X307" s="3">
        <v>9.4047940582582044</v>
      </c>
      <c r="Y307" s="11">
        <v>8.8523982337170626</v>
      </c>
    </row>
    <row r="308" spans="11:25" x14ac:dyDescent="0.25">
      <c r="L308">
        <f t="shared" si="29"/>
        <v>6</v>
      </c>
      <c r="M308" s="9">
        <v>0.12</v>
      </c>
      <c r="N308" s="4">
        <v>0.120716552734375</v>
      </c>
      <c r="O308" s="4">
        <v>0.12061656951904297</v>
      </c>
      <c r="P308" s="4">
        <v>0.11837591171264648</v>
      </c>
      <c r="Q308" s="4">
        <v>0.1199946403503418</v>
      </c>
      <c r="R308" s="4">
        <v>0.12387909889221191</v>
      </c>
      <c r="W308" s="10">
        <v>8.1975794538234439</v>
      </c>
      <c r="X308" s="3">
        <v>9.4219513635863237</v>
      </c>
      <c r="Y308" s="11">
        <v>8.6524030260070042</v>
      </c>
    </row>
    <row r="309" spans="11:25" x14ac:dyDescent="0.25">
      <c r="L309">
        <f t="shared" si="29"/>
        <v>7</v>
      </c>
      <c r="W309" s="10">
        <v>8.1109889058214701</v>
      </c>
      <c r="X309" s="3">
        <v>9.3381090120267842</v>
      </c>
      <c r="Y309" s="11">
        <v>8.2416309470449747</v>
      </c>
    </row>
    <row r="310" spans="11:25" x14ac:dyDescent="0.25">
      <c r="L310">
        <f t="shared" si="29"/>
        <v>8</v>
      </c>
      <c r="W310" s="10">
        <v>8.8050056172735314</v>
      </c>
      <c r="X310" s="3">
        <v>9.8129907300086074</v>
      </c>
      <c r="Y310" s="11">
        <v>7.6843247636753098</v>
      </c>
    </row>
    <row r="311" spans="11:25" x14ac:dyDescent="0.25">
      <c r="L311">
        <f t="shared" si="29"/>
        <v>9</v>
      </c>
      <c r="W311" s="10">
        <v>9.0299808348750954</v>
      </c>
      <c r="X311" s="3">
        <v>9.8555866268024381</v>
      </c>
      <c r="Y311" s="11">
        <v>7.668444857363732</v>
      </c>
    </row>
    <row r="312" spans="11:25" x14ac:dyDescent="0.25">
      <c r="L312">
        <f t="shared" si="29"/>
        <v>10</v>
      </c>
    </row>
    <row r="313" spans="11:25" x14ac:dyDescent="0.25">
      <c r="L313">
        <f t="shared" si="29"/>
        <v>11</v>
      </c>
    </row>
    <row r="314" spans="11:25" x14ac:dyDescent="0.25">
      <c r="L314">
        <f t="shared" si="29"/>
        <v>12</v>
      </c>
    </row>
    <row r="315" spans="11:25" x14ac:dyDescent="0.25">
      <c r="K315">
        <f t="shared" ref="K315" si="31">K303+1</f>
        <v>2026</v>
      </c>
      <c r="L315">
        <f t="shared" si="29"/>
        <v>1</v>
      </c>
    </row>
    <row r="316" spans="11:25" x14ac:dyDescent="0.25">
      <c r="L316">
        <f t="shared" si="29"/>
        <v>2</v>
      </c>
    </row>
    <row r="317" spans="11:25" x14ac:dyDescent="0.25">
      <c r="L317">
        <f t="shared" si="29"/>
        <v>3</v>
      </c>
    </row>
    <row r="318" spans="11:25" x14ac:dyDescent="0.25">
      <c r="L318">
        <f t="shared" si="29"/>
        <v>4</v>
      </c>
    </row>
    <row r="319" spans="11:25" x14ac:dyDescent="0.25">
      <c r="L319">
        <f t="shared" si="29"/>
        <v>5</v>
      </c>
    </row>
    <row r="320" spans="11:25" x14ac:dyDescent="0.25">
      <c r="L320">
        <f t="shared" si="29"/>
        <v>6</v>
      </c>
    </row>
    <row r="321" spans="12:12" x14ac:dyDescent="0.25">
      <c r="L321">
        <f t="shared" si="29"/>
        <v>7</v>
      </c>
    </row>
    <row r="322" spans="12:12" x14ac:dyDescent="0.25">
      <c r="L322">
        <f t="shared" si="29"/>
        <v>8</v>
      </c>
    </row>
    <row r="323" spans="12:12" x14ac:dyDescent="0.25">
      <c r="L323">
        <f t="shared" si="29"/>
        <v>9</v>
      </c>
    </row>
    <row r="324" spans="12:12" x14ac:dyDescent="0.25">
      <c r="L324">
        <f t="shared" si="29"/>
        <v>10</v>
      </c>
    </row>
    <row r="325" spans="12:12" x14ac:dyDescent="0.25">
      <c r="L325">
        <f t="shared" si="29"/>
        <v>11</v>
      </c>
    </row>
    <row r="326" spans="12:12" x14ac:dyDescent="0.25">
      <c r="L326">
        <f t="shared" si="29"/>
        <v>12</v>
      </c>
    </row>
  </sheetData>
  <mergeCells count="5">
    <mergeCell ref="AC1:AE1"/>
    <mergeCell ref="M1:T1"/>
    <mergeCell ref="W1:Y1"/>
    <mergeCell ref="Z1:AB1"/>
    <mergeCell ref="U1:V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3D39-53D8-4626-9C0B-3CD292B3C36F}">
  <sheetPr>
    <tabColor theme="3" tint="0.89999084444715716"/>
  </sheetPr>
  <dimension ref="A1:AT326"/>
  <sheetViews>
    <sheetView showGridLines="0" tabSelected="1" zoomScale="70" zoomScaleNormal="7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C3" sqref="C3"/>
    </sheetView>
  </sheetViews>
  <sheetFormatPr defaultColWidth="8.5546875" defaultRowHeight="13.2" x14ac:dyDescent="0.25"/>
  <cols>
    <col min="1" max="1" width="5" style="22" customWidth="1"/>
    <col min="2" max="2" width="3" style="22" bestFit="1" customWidth="1"/>
    <col min="3" max="3" width="23.109375" style="88" bestFit="1" customWidth="1"/>
    <col min="4" max="16384" width="8.5546875" style="88"/>
  </cols>
  <sheetData>
    <row r="1" spans="1:46" s="138" customFormat="1" x14ac:dyDescent="0.25">
      <c r="A1" s="76"/>
      <c r="B1" s="137"/>
      <c r="C1" s="138" t="s">
        <v>59</v>
      </c>
    </row>
    <row r="2" spans="1:46" s="135" customFormat="1" x14ac:dyDescent="0.25">
      <c r="A2" s="79"/>
      <c r="B2" s="79"/>
      <c r="C2" s="136"/>
      <c r="D2" s="134"/>
      <c r="E2" s="134"/>
      <c r="F2" s="134"/>
    </row>
    <row r="3" spans="1:46" x14ac:dyDescent="0.25">
      <c r="A3">
        <v>2000</v>
      </c>
      <c r="B3">
        <v>1</v>
      </c>
      <c r="C3" s="131"/>
      <c r="D3" s="132"/>
      <c r="E3" s="131"/>
      <c r="F3" s="133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</row>
    <row r="4" spans="1:46" x14ac:dyDescent="0.25">
      <c r="A4"/>
      <c r="B4">
        <f t="shared" ref="B4:B14" si="0">B3+1</f>
        <v>2</v>
      </c>
      <c r="C4" s="90"/>
      <c r="D4" s="91"/>
      <c r="E4" s="90"/>
      <c r="F4" s="92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</row>
    <row r="5" spans="1:46" x14ac:dyDescent="0.25">
      <c r="A5"/>
      <c r="B5">
        <f t="shared" si="0"/>
        <v>3</v>
      </c>
      <c r="C5" s="90"/>
      <c r="D5" s="91"/>
      <c r="E5" s="90"/>
      <c r="F5" s="92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</row>
    <row r="6" spans="1:46" x14ac:dyDescent="0.25">
      <c r="A6"/>
      <c r="B6">
        <f t="shared" si="0"/>
        <v>4</v>
      </c>
      <c r="C6" s="90"/>
      <c r="D6" s="91"/>
      <c r="E6" s="90"/>
      <c r="F6" s="92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</row>
    <row r="7" spans="1:46" x14ac:dyDescent="0.25">
      <c r="A7"/>
      <c r="B7">
        <f t="shared" si="0"/>
        <v>5</v>
      </c>
      <c r="C7" s="90"/>
      <c r="D7" s="91"/>
      <c r="E7" s="90"/>
      <c r="F7" s="92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</row>
    <row r="8" spans="1:46" x14ac:dyDescent="0.25">
      <c r="A8"/>
      <c r="B8">
        <f t="shared" si="0"/>
        <v>6</v>
      </c>
      <c r="C8" s="90"/>
      <c r="D8" s="91"/>
      <c r="E8" s="90"/>
      <c r="F8" s="92"/>
    </row>
    <row r="9" spans="1:46" x14ac:dyDescent="0.25">
      <c r="A9"/>
      <c r="B9">
        <f t="shared" si="0"/>
        <v>7</v>
      </c>
      <c r="C9" s="90"/>
      <c r="D9" s="91"/>
      <c r="E9" s="90"/>
      <c r="F9" s="92"/>
    </row>
    <row r="10" spans="1:46" x14ac:dyDescent="0.25">
      <c r="A10"/>
      <c r="B10">
        <f t="shared" si="0"/>
        <v>8</v>
      </c>
      <c r="C10" s="90"/>
      <c r="D10" s="91"/>
      <c r="E10" s="90"/>
      <c r="F10" s="92"/>
    </row>
    <row r="11" spans="1:46" x14ac:dyDescent="0.25">
      <c r="A11"/>
      <c r="B11">
        <f t="shared" si="0"/>
        <v>9</v>
      </c>
      <c r="C11" s="90"/>
      <c r="D11" s="91"/>
      <c r="E11" s="90"/>
      <c r="F11" s="92"/>
    </row>
    <row r="12" spans="1:46" x14ac:dyDescent="0.25">
      <c r="A12"/>
      <c r="B12">
        <f t="shared" si="0"/>
        <v>10</v>
      </c>
      <c r="C12" s="90"/>
      <c r="D12" s="91"/>
      <c r="E12" s="90"/>
      <c r="F12" s="93"/>
    </row>
    <row r="13" spans="1:46" x14ac:dyDescent="0.25">
      <c r="A13"/>
      <c r="B13">
        <f t="shared" si="0"/>
        <v>11</v>
      </c>
      <c r="C13" s="90"/>
      <c r="D13" s="91"/>
      <c r="E13" s="90"/>
      <c r="F13" s="92"/>
    </row>
    <row r="14" spans="1:46" x14ac:dyDescent="0.25">
      <c r="A14"/>
      <c r="B14">
        <f t="shared" si="0"/>
        <v>12</v>
      </c>
      <c r="C14" s="90"/>
      <c r="D14" s="91"/>
      <c r="E14" s="90"/>
      <c r="F14" s="92"/>
    </row>
    <row r="15" spans="1:46" x14ac:dyDescent="0.25">
      <c r="A15">
        <f>A3+1</f>
        <v>2001</v>
      </c>
      <c r="B15">
        <f>B3</f>
        <v>1</v>
      </c>
      <c r="C15" s="90"/>
      <c r="D15" s="91"/>
      <c r="E15" s="90"/>
      <c r="F15" s="92"/>
    </row>
    <row r="16" spans="1:46" x14ac:dyDescent="0.25">
      <c r="A16"/>
      <c r="B16">
        <f t="shared" ref="B16:B79" si="1">B4</f>
        <v>2</v>
      </c>
      <c r="C16" s="90"/>
      <c r="D16" s="91"/>
      <c r="E16" s="90"/>
      <c r="F16" s="92"/>
    </row>
    <row r="17" spans="1:2" x14ac:dyDescent="0.25">
      <c r="A17"/>
      <c r="B17">
        <f t="shared" si="1"/>
        <v>3</v>
      </c>
    </row>
    <row r="18" spans="1:2" x14ac:dyDescent="0.25">
      <c r="A18"/>
      <c r="B18">
        <f t="shared" si="1"/>
        <v>4</v>
      </c>
    </row>
    <row r="19" spans="1:2" x14ac:dyDescent="0.25">
      <c r="A19"/>
      <c r="B19">
        <f t="shared" si="1"/>
        <v>5</v>
      </c>
    </row>
    <row r="20" spans="1:2" x14ac:dyDescent="0.25">
      <c r="A20"/>
      <c r="B20">
        <f t="shared" si="1"/>
        <v>6</v>
      </c>
    </row>
    <row r="21" spans="1:2" x14ac:dyDescent="0.25">
      <c r="A21"/>
      <c r="B21">
        <f t="shared" si="1"/>
        <v>7</v>
      </c>
    </row>
    <row r="22" spans="1:2" x14ac:dyDescent="0.25">
      <c r="A22"/>
      <c r="B22">
        <f t="shared" si="1"/>
        <v>8</v>
      </c>
    </row>
    <row r="23" spans="1:2" x14ac:dyDescent="0.25">
      <c r="A23"/>
      <c r="B23">
        <f t="shared" si="1"/>
        <v>9</v>
      </c>
    </row>
    <row r="24" spans="1:2" x14ac:dyDescent="0.25">
      <c r="A24"/>
      <c r="B24">
        <f t="shared" si="1"/>
        <v>10</v>
      </c>
    </row>
    <row r="25" spans="1:2" x14ac:dyDescent="0.25">
      <c r="A25"/>
      <c r="B25">
        <f t="shared" si="1"/>
        <v>11</v>
      </c>
    </row>
    <row r="26" spans="1:2" x14ac:dyDescent="0.25">
      <c r="A26"/>
      <c r="B26">
        <f t="shared" si="1"/>
        <v>12</v>
      </c>
    </row>
    <row r="27" spans="1:2" x14ac:dyDescent="0.25">
      <c r="A27">
        <f t="shared" ref="A27" si="2">A15+1</f>
        <v>2002</v>
      </c>
      <c r="B27">
        <f t="shared" si="1"/>
        <v>1</v>
      </c>
    </row>
    <row r="28" spans="1:2" x14ac:dyDescent="0.25">
      <c r="A28"/>
      <c r="B28">
        <f t="shared" si="1"/>
        <v>2</v>
      </c>
    </row>
    <row r="29" spans="1:2" x14ac:dyDescent="0.25">
      <c r="A29"/>
      <c r="B29">
        <f t="shared" si="1"/>
        <v>3</v>
      </c>
    </row>
    <row r="30" spans="1:2" x14ac:dyDescent="0.25">
      <c r="A30"/>
      <c r="B30">
        <f t="shared" si="1"/>
        <v>4</v>
      </c>
    </row>
    <row r="31" spans="1:2" x14ac:dyDescent="0.25">
      <c r="A31"/>
      <c r="B31">
        <f t="shared" si="1"/>
        <v>5</v>
      </c>
    </row>
    <row r="32" spans="1:2" x14ac:dyDescent="0.25">
      <c r="A32"/>
      <c r="B32">
        <f t="shared" si="1"/>
        <v>6</v>
      </c>
    </row>
    <row r="33" spans="1:3" x14ac:dyDescent="0.25">
      <c r="A33"/>
      <c r="B33">
        <f t="shared" si="1"/>
        <v>7</v>
      </c>
    </row>
    <row r="34" spans="1:3" x14ac:dyDescent="0.25">
      <c r="A34"/>
      <c r="B34">
        <f t="shared" si="1"/>
        <v>8</v>
      </c>
    </row>
    <row r="35" spans="1:3" x14ac:dyDescent="0.25">
      <c r="A35"/>
      <c r="B35">
        <f t="shared" si="1"/>
        <v>9</v>
      </c>
    </row>
    <row r="36" spans="1:3" x14ac:dyDescent="0.25">
      <c r="A36"/>
      <c r="B36">
        <f t="shared" si="1"/>
        <v>10</v>
      </c>
    </row>
    <row r="37" spans="1:3" x14ac:dyDescent="0.25">
      <c r="A37"/>
      <c r="B37">
        <f t="shared" si="1"/>
        <v>11</v>
      </c>
    </row>
    <row r="38" spans="1:3" x14ac:dyDescent="0.25">
      <c r="A38"/>
      <c r="B38">
        <f t="shared" si="1"/>
        <v>12</v>
      </c>
    </row>
    <row r="39" spans="1:3" x14ac:dyDescent="0.25">
      <c r="A39">
        <f t="shared" ref="A39" si="3">A27+1</f>
        <v>2003</v>
      </c>
      <c r="B39">
        <f t="shared" si="1"/>
        <v>1</v>
      </c>
    </row>
    <row r="40" spans="1:3" x14ac:dyDescent="0.25">
      <c r="A40"/>
      <c r="B40">
        <f t="shared" si="1"/>
        <v>2</v>
      </c>
      <c r="C40" s="88">
        <v>-0.119327274012427</v>
      </c>
    </row>
    <row r="41" spans="1:3" x14ac:dyDescent="0.25">
      <c r="A41"/>
      <c r="B41">
        <f t="shared" si="1"/>
        <v>3</v>
      </c>
      <c r="C41" s="88">
        <v>-0.47775199254635298</v>
      </c>
    </row>
    <row r="42" spans="1:3" x14ac:dyDescent="0.25">
      <c r="A42"/>
      <c r="B42">
        <f t="shared" si="1"/>
        <v>4</v>
      </c>
      <c r="C42" s="88">
        <v>-0.16382739680605701</v>
      </c>
    </row>
    <row r="43" spans="1:3" x14ac:dyDescent="0.25">
      <c r="A43"/>
      <c r="B43">
        <f t="shared" si="1"/>
        <v>5</v>
      </c>
      <c r="C43" s="88">
        <v>0.15187603919856399</v>
      </c>
    </row>
    <row r="44" spans="1:3" x14ac:dyDescent="0.25">
      <c r="A44"/>
      <c r="B44">
        <f t="shared" si="1"/>
        <v>6</v>
      </c>
      <c r="C44" s="88">
        <v>0.26742765088845799</v>
      </c>
    </row>
    <row r="45" spans="1:3" x14ac:dyDescent="0.25">
      <c r="A45"/>
      <c r="B45">
        <f t="shared" si="1"/>
        <v>7</v>
      </c>
      <c r="C45" s="88">
        <v>0.151759275982118</v>
      </c>
    </row>
    <row r="46" spans="1:3" x14ac:dyDescent="0.25">
      <c r="A46"/>
      <c r="B46">
        <f t="shared" si="1"/>
        <v>8</v>
      </c>
      <c r="C46" s="88">
        <v>0.165417609665132</v>
      </c>
    </row>
    <row r="47" spans="1:3" x14ac:dyDescent="0.25">
      <c r="A47"/>
      <c r="B47">
        <f t="shared" si="1"/>
        <v>9</v>
      </c>
      <c r="C47" s="88">
        <v>5.58700321676956E-2</v>
      </c>
    </row>
    <row r="48" spans="1:3" x14ac:dyDescent="0.25">
      <c r="A48"/>
      <c r="B48">
        <f t="shared" si="1"/>
        <v>10</v>
      </c>
      <c r="C48" s="88">
        <v>0.279275367378094</v>
      </c>
    </row>
    <row r="49" spans="1:3" x14ac:dyDescent="0.25">
      <c r="A49"/>
      <c r="B49">
        <f t="shared" si="1"/>
        <v>11</v>
      </c>
      <c r="C49" s="88">
        <v>0.19076691913597699</v>
      </c>
    </row>
    <row r="50" spans="1:3" x14ac:dyDescent="0.25">
      <c r="A50"/>
      <c r="B50">
        <f t="shared" si="1"/>
        <v>12</v>
      </c>
      <c r="C50" s="88">
        <v>0.28726273767330901</v>
      </c>
    </row>
    <row r="51" spans="1:3" x14ac:dyDescent="0.25">
      <c r="A51">
        <f t="shared" ref="A51" si="4">A39+1</f>
        <v>2004</v>
      </c>
      <c r="B51">
        <f t="shared" si="1"/>
        <v>1</v>
      </c>
      <c r="C51" s="88">
        <v>-0.16235760019683099</v>
      </c>
    </row>
    <row r="52" spans="1:3" x14ac:dyDescent="0.25">
      <c r="A52"/>
      <c r="B52">
        <f t="shared" si="1"/>
        <v>2</v>
      </c>
      <c r="C52" s="88">
        <v>9.9819277089151406E-2</v>
      </c>
    </row>
    <row r="53" spans="1:3" x14ac:dyDescent="0.25">
      <c r="A53"/>
      <c r="B53">
        <f t="shared" si="1"/>
        <v>3</v>
      </c>
      <c r="C53" s="88">
        <v>0.29295845128674802</v>
      </c>
    </row>
    <row r="54" spans="1:3" x14ac:dyDescent="0.25">
      <c r="A54"/>
      <c r="B54">
        <f t="shared" si="1"/>
        <v>4</v>
      </c>
      <c r="C54" s="88">
        <v>9.2770456633881102E-2</v>
      </c>
    </row>
    <row r="55" spans="1:3" x14ac:dyDescent="0.25">
      <c r="A55"/>
      <c r="B55">
        <f t="shared" si="1"/>
        <v>5</v>
      </c>
      <c r="C55" s="88">
        <v>0.212345379451955</v>
      </c>
    </row>
    <row r="56" spans="1:3" x14ac:dyDescent="0.25">
      <c r="A56"/>
      <c r="B56">
        <f t="shared" si="1"/>
        <v>6</v>
      </c>
      <c r="C56" s="88">
        <v>9.9620115959734995E-2</v>
      </c>
    </row>
    <row r="57" spans="1:3" x14ac:dyDescent="0.25">
      <c r="A57"/>
      <c r="B57">
        <f t="shared" si="1"/>
        <v>7</v>
      </c>
      <c r="C57" s="88">
        <v>9.4307302649222005E-2</v>
      </c>
    </row>
    <row r="58" spans="1:3" x14ac:dyDescent="0.25">
      <c r="A58"/>
      <c r="B58">
        <f t="shared" si="1"/>
        <v>8</v>
      </c>
      <c r="C58" s="88">
        <v>0.19139005324567701</v>
      </c>
    </row>
    <row r="59" spans="1:3" x14ac:dyDescent="0.25">
      <c r="A59"/>
      <c r="B59">
        <f t="shared" si="1"/>
        <v>9</v>
      </c>
      <c r="C59" s="88">
        <v>0.303580692030329</v>
      </c>
    </row>
    <row r="60" spans="1:3" x14ac:dyDescent="0.25">
      <c r="A60"/>
      <c r="B60">
        <f t="shared" si="1"/>
        <v>10</v>
      </c>
      <c r="C60" s="88">
        <v>0.229827435635685</v>
      </c>
    </row>
    <row r="61" spans="1:3" x14ac:dyDescent="0.25">
      <c r="A61"/>
      <c r="B61">
        <f t="shared" si="1"/>
        <v>11</v>
      </c>
      <c r="C61" s="88">
        <v>0.206076322126551</v>
      </c>
    </row>
    <row r="62" spans="1:3" x14ac:dyDescent="0.25">
      <c r="A62"/>
      <c r="B62">
        <f t="shared" si="1"/>
        <v>12</v>
      </c>
      <c r="C62" s="88">
        <v>0.32731711638003502</v>
      </c>
    </row>
    <row r="63" spans="1:3" x14ac:dyDescent="0.25">
      <c r="A63">
        <f t="shared" ref="A63" si="5">A51+1</f>
        <v>2005</v>
      </c>
      <c r="B63">
        <f t="shared" si="1"/>
        <v>1</v>
      </c>
      <c r="C63" s="88">
        <v>0.29340232443643799</v>
      </c>
    </row>
    <row r="64" spans="1:3" x14ac:dyDescent="0.25">
      <c r="A64"/>
      <c r="B64">
        <f t="shared" si="1"/>
        <v>2</v>
      </c>
      <c r="C64" s="88">
        <v>0.26017065245610199</v>
      </c>
    </row>
    <row r="65" spans="1:3" x14ac:dyDescent="0.25">
      <c r="A65"/>
      <c r="B65">
        <f t="shared" si="1"/>
        <v>3</v>
      </c>
      <c r="C65" s="88">
        <v>0.187989676780556</v>
      </c>
    </row>
    <row r="66" spans="1:3" x14ac:dyDescent="0.25">
      <c r="A66"/>
      <c r="B66">
        <f t="shared" si="1"/>
        <v>4</v>
      </c>
      <c r="C66" s="88">
        <v>-0.19672741459065901</v>
      </c>
    </row>
    <row r="67" spans="1:3" x14ac:dyDescent="0.25">
      <c r="A67"/>
      <c r="B67">
        <f t="shared" si="1"/>
        <v>5</v>
      </c>
      <c r="C67" s="88">
        <v>-0.29529433409397299</v>
      </c>
    </row>
    <row r="68" spans="1:3" x14ac:dyDescent="0.25">
      <c r="A68"/>
      <c r="B68">
        <f t="shared" si="1"/>
        <v>6</v>
      </c>
      <c r="C68" s="88">
        <v>-0.190288491883844</v>
      </c>
    </row>
    <row r="69" spans="1:3" x14ac:dyDescent="0.25">
      <c r="A69"/>
      <c r="B69">
        <f t="shared" si="1"/>
        <v>7</v>
      </c>
      <c r="C69" s="88">
        <v>-9.2778863380215001E-2</v>
      </c>
    </row>
    <row r="70" spans="1:3" x14ac:dyDescent="0.25">
      <c r="A70"/>
      <c r="B70">
        <f t="shared" si="1"/>
        <v>8</v>
      </c>
      <c r="C70" s="88">
        <v>2.6159768632709898E-2</v>
      </c>
    </row>
    <row r="71" spans="1:3" x14ac:dyDescent="0.25">
      <c r="A71"/>
      <c r="B71">
        <f t="shared" si="1"/>
        <v>9</v>
      </c>
      <c r="C71" s="88">
        <v>8.0126747251248701E-2</v>
      </c>
    </row>
    <row r="72" spans="1:3" x14ac:dyDescent="0.25">
      <c r="A72"/>
      <c r="B72">
        <f t="shared" si="1"/>
        <v>10</v>
      </c>
      <c r="C72" s="88">
        <v>0.18390054711620199</v>
      </c>
    </row>
    <row r="73" spans="1:3" x14ac:dyDescent="0.25">
      <c r="A73"/>
      <c r="B73">
        <f t="shared" si="1"/>
        <v>11</v>
      </c>
      <c r="C73" s="88">
        <v>3.4294134951582997E-2</v>
      </c>
    </row>
    <row r="74" spans="1:3" x14ac:dyDescent="0.25">
      <c r="A74"/>
      <c r="B74">
        <f t="shared" si="1"/>
        <v>12</v>
      </c>
      <c r="C74" s="88">
        <v>6.9852563161349995E-2</v>
      </c>
    </row>
    <row r="75" spans="1:3" x14ac:dyDescent="0.25">
      <c r="A75">
        <f t="shared" ref="A75" si="6">A63+1</f>
        <v>2006</v>
      </c>
      <c r="B75">
        <f t="shared" si="1"/>
        <v>1</v>
      </c>
      <c r="C75" s="88">
        <v>-0.10852066767440501</v>
      </c>
    </row>
    <row r="76" spans="1:3" x14ac:dyDescent="0.25">
      <c r="A76"/>
      <c r="B76">
        <f t="shared" si="1"/>
        <v>2</v>
      </c>
      <c r="C76" s="88">
        <v>-1.8496230560851899E-2</v>
      </c>
    </row>
    <row r="77" spans="1:3" x14ac:dyDescent="0.25">
      <c r="A77"/>
      <c r="B77">
        <f t="shared" si="1"/>
        <v>3</v>
      </c>
      <c r="C77" s="88">
        <v>-0.14372769839226901</v>
      </c>
    </row>
    <row r="78" spans="1:3" x14ac:dyDescent="0.25">
      <c r="A78"/>
      <c r="B78">
        <f t="shared" si="1"/>
        <v>4</v>
      </c>
      <c r="C78" s="88">
        <v>0.21828950547119899</v>
      </c>
    </row>
    <row r="79" spans="1:3" x14ac:dyDescent="0.25">
      <c r="A79"/>
      <c r="B79">
        <f t="shared" si="1"/>
        <v>5</v>
      </c>
      <c r="C79" s="88">
        <v>0.29660127084799098</v>
      </c>
    </row>
    <row r="80" spans="1:3" x14ac:dyDescent="0.25">
      <c r="A80"/>
      <c r="B80">
        <f t="shared" ref="B80:B143" si="7">B68</f>
        <v>6</v>
      </c>
      <c r="C80" s="88">
        <v>0.10435298066933001</v>
      </c>
    </row>
    <row r="81" spans="1:3" x14ac:dyDescent="0.25">
      <c r="A81"/>
      <c r="B81">
        <f t="shared" si="7"/>
        <v>7</v>
      </c>
      <c r="C81" s="88">
        <v>0.15745855745127299</v>
      </c>
    </row>
    <row r="82" spans="1:3" x14ac:dyDescent="0.25">
      <c r="A82"/>
      <c r="B82">
        <f t="shared" si="7"/>
        <v>8</v>
      </c>
      <c r="C82" s="88">
        <v>4.0557138625938599E-2</v>
      </c>
    </row>
    <row r="83" spans="1:3" x14ac:dyDescent="0.25">
      <c r="A83"/>
      <c r="B83">
        <f t="shared" si="7"/>
        <v>9</v>
      </c>
      <c r="C83" s="88">
        <v>0.13518465667545501</v>
      </c>
    </row>
    <row r="84" spans="1:3" x14ac:dyDescent="0.25">
      <c r="A84"/>
      <c r="B84">
        <f t="shared" si="7"/>
        <v>10</v>
      </c>
      <c r="C84" s="88">
        <v>1.867074948091E-2</v>
      </c>
    </row>
    <row r="85" spans="1:3" x14ac:dyDescent="0.25">
      <c r="A85"/>
      <c r="B85">
        <f t="shared" si="7"/>
        <v>11</v>
      </c>
      <c r="C85" s="88">
        <v>2.5446004996957899E-2</v>
      </c>
    </row>
    <row r="86" spans="1:3" x14ac:dyDescent="0.25">
      <c r="A86"/>
      <c r="B86">
        <f t="shared" si="7"/>
        <v>12</v>
      </c>
      <c r="C86" s="88">
        <v>-7.8722982151683094E-2</v>
      </c>
    </row>
    <row r="87" spans="1:3" x14ac:dyDescent="0.25">
      <c r="A87">
        <f t="shared" ref="A87" si="8">A75+1</f>
        <v>2007</v>
      </c>
      <c r="B87">
        <f t="shared" si="7"/>
        <v>1</v>
      </c>
      <c r="C87" s="88">
        <v>-2.0864512689575801E-2</v>
      </c>
    </row>
    <row r="88" spans="1:3" x14ac:dyDescent="0.25">
      <c r="A88"/>
      <c r="B88">
        <f t="shared" si="7"/>
        <v>2</v>
      </c>
      <c r="C88" s="88">
        <v>-0.21359027283856299</v>
      </c>
    </row>
    <row r="89" spans="1:3" x14ac:dyDescent="0.25">
      <c r="A89"/>
      <c r="B89">
        <f t="shared" si="7"/>
        <v>3</v>
      </c>
      <c r="C89" s="88">
        <v>-0.30197464966624499</v>
      </c>
    </row>
    <row r="90" spans="1:3" x14ac:dyDescent="0.25">
      <c r="A90"/>
      <c r="B90">
        <f t="shared" si="7"/>
        <v>4</v>
      </c>
      <c r="C90" s="88">
        <v>-0.16139388218467501</v>
      </c>
    </row>
    <row r="91" spans="1:3" x14ac:dyDescent="0.25">
      <c r="A91"/>
      <c r="B91">
        <f t="shared" si="7"/>
        <v>5</v>
      </c>
      <c r="C91" s="88">
        <v>-0.20605414396566701</v>
      </c>
    </row>
    <row r="92" spans="1:3" x14ac:dyDescent="0.25">
      <c r="A92"/>
      <c r="B92">
        <f t="shared" si="7"/>
        <v>6</v>
      </c>
      <c r="C92" s="88">
        <v>-0.282064389165953</v>
      </c>
    </row>
    <row r="93" spans="1:3" x14ac:dyDescent="0.25">
      <c r="A93"/>
      <c r="B93">
        <f t="shared" si="7"/>
        <v>7</v>
      </c>
      <c r="C93" s="88">
        <v>-0.210130299425627</v>
      </c>
    </row>
    <row r="94" spans="1:3" x14ac:dyDescent="0.25">
      <c r="A94"/>
      <c r="B94">
        <f t="shared" si="7"/>
        <v>8</v>
      </c>
      <c r="C94" s="88">
        <v>-0.226532582368729</v>
      </c>
    </row>
    <row r="95" spans="1:3" x14ac:dyDescent="0.25">
      <c r="A95"/>
      <c r="B95">
        <f t="shared" si="7"/>
        <v>9</v>
      </c>
      <c r="C95" s="88">
        <v>-8.9701278915257504E-2</v>
      </c>
    </row>
    <row r="96" spans="1:3" x14ac:dyDescent="0.25">
      <c r="A96"/>
      <c r="B96">
        <f t="shared" si="7"/>
        <v>10</v>
      </c>
      <c r="C96" s="88">
        <v>-9.2512084167477499E-2</v>
      </c>
    </row>
    <row r="97" spans="1:3" x14ac:dyDescent="0.25">
      <c r="A97"/>
      <c r="B97">
        <f t="shared" si="7"/>
        <v>11</v>
      </c>
      <c r="C97" s="88">
        <v>0.13278879192458901</v>
      </c>
    </row>
    <row r="98" spans="1:3" x14ac:dyDescent="0.25">
      <c r="A98"/>
      <c r="B98">
        <f t="shared" si="7"/>
        <v>12</v>
      </c>
      <c r="C98" s="88">
        <v>8.1312201788757102E-2</v>
      </c>
    </row>
    <row r="99" spans="1:3" x14ac:dyDescent="0.25">
      <c r="A99">
        <f t="shared" ref="A99" si="9">A87+1</f>
        <v>2008</v>
      </c>
      <c r="B99">
        <f t="shared" si="7"/>
        <v>1</v>
      </c>
      <c r="C99" s="88">
        <v>-2.0322783261973201E-2</v>
      </c>
    </row>
    <row r="100" spans="1:3" x14ac:dyDescent="0.25">
      <c r="A100"/>
      <c r="B100">
        <f t="shared" si="7"/>
        <v>2</v>
      </c>
      <c r="C100" s="88">
        <v>0.20500624984980301</v>
      </c>
    </row>
    <row r="101" spans="1:3" x14ac:dyDescent="0.25">
      <c r="A101"/>
      <c r="B101">
        <f t="shared" si="7"/>
        <v>3</v>
      </c>
      <c r="C101" s="88">
        <v>0.39551387698316298</v>
      </c>
    </row>
    <row r="102" spans="1:3" x14ac:dyDescent="0.25">
      <c r="A102"/>
      <c r="B102">
        <f t="shared" si="7"/>
        <v>4</v>
      </c>
      <c r="C102" s="88">
        <v>0.3962159564603</v>
      </c>
    </row>
    <row r="103" spans="1:3" x14ac:dyDescent="0.25">
      <c r="A103"/>
      <c r="B103">
        <f t="shared" si="7"/>
        <v>5</v>
      </c>
      <c r="C103" s="88">
        <v>-1.62095003246077E-2</v>
      </c>
    </row>
    <row r="104" spans="1:3" x14ac:dyDescent="0.25">
      <c r="A104"/>
      <c r="B104">
        <f t="shared" si="7"/>
        <v>6</v>
      </c>
      <c r="C104" s="88">
        <v>5.2690430025610802E-2</v>
      </c>
    </row>
    <row r="105" spans="1:3" x14ac:dyDescent="0.25">
      <c r="A105"/>
      <c r="B105">
        <f t="shared" si="7"/>
        <v>7</v>
      </c>
      <c r="C105" s="88">
        <v>-0.19237081454851401</v>
      </c>
    </row>
    <row r="106" spans="1:3" x14ac:dyDescent="0.25">
      <c r="A106"/>
      <c r="B106">
        <f t="shared" si="7"/>
        <v>8</v>
      </c>
      <c r="C106" s="88">
        <v>-0.25441347583165302</v>
      </c>
    </row>
    <row r="107" spans="1:3" x14ac:dyDescent="0.25">
      <c r="A107"/>
      <c r="B107">
        <f t="shared" si="7"/>
        <v>9</v>
      </c>
      <c r="C107" s="88">
        <v>-7.9181141486981702E-2</v>
      </c>
    </row>
    <row r="108" spans="1:3" x14ac:dyDescent="0.25">
      <c r="A108"/>
      <c r="B108">
        <f t="shared" si="7"/>
        <v>10</v>
      </c>
      <c r="C108" s="88">
        <v>-0.85307347281264501</v>
      </c>
    </row>
    <row r="109" spans="1:3" x14ac:dyDescent="0.25">
      <c r="A109"/>
      <c r="B109">
        <f t="shared" si="7"/>
        <v>11</v>
      </c>
      <c r="C109" s="88">
        <v>-1.7292648254169201</v>
      </c>
    </row>
    <row r="110" spans="1:3" x14ac:dyDescent="0.25">
      <c r="A110"/>
      <c r="B110">
        <f t="shared" si="7"/>
        <v>12</v>
      </c>
      <c r="C110" s="88">
        <v>-1.2561077142229899</v>
      </c>
    </row>
    <row r="111" spans="1:3" x14ac:dyDescent="0.25">
      <c r="A111">
        <f t="shared" ref="A111" si="10">A99+1</f>
        <v>2009</v>
      </c>
      <c r="B111">
        <f t="shared" si="7"/>
        <v>1</v>
      </c>
      <c r="C111" s="88">
        <v>-0.78732809393330005</v>
      </c>
    </row>
    <row r="112" spans="1:3" x14ac:dyDescent="0.25">
      <c r="A112"/>
      <c r="B112">
        <f t="shared" si="7"/>
        <v>2</v>
      </c>
      <c r="C112" s="88">
        <v>-8.4160752242877904E-2</v>
      </c>
    </row>
    <row r="113" spans="1:3" x14ac:dyDescent="0.25">
      <c r="A113"/>
      <c r="B113">
        <f t="shared" si="7"/>
        <v>3</v>
      </c>
      <c r="C113" s="88">
        <v>-8.3197734084721905E-2</v>
      </c>
    </row>
    <row r="114" spans="1:3" x14ac:dyDescent="0.25">
      <c r="A114"/>
      <c r="B114">
        <f t="shared" si="7"/>
        <v>4</v>
      </c>
      <c r="C114" s="88">
        <v>-0.20935872472008599</v>
      </c>
    </row>
    <row r="115" spans="1:3" x14ac:dyDescent="0.25">
      <c r="A115"/>
      <c r="B115">
        <f t="shared" si="7"/>
        <v>5</v>
      </c>
      <c r="C115" s="88">
        <v>-0.12594598433465501</v>
      </c>
    </row>
    <row r="116" spans="1:3" x14ac:dyDescent="0.25">
      <c r="A116"/>
      <c r="B116">
        <f t="shared" si="7"/>
        <v>6</v>
      </c>
      <c r="C116" s="88">
        <v>5.3088913543357E-2</v>
      </c>
    </row>
    <row r="117" spans="1:3" x14ac:dyDescent="0.25">
      <c r="A117"/>
      <c r="B117">
        <f t="shared" si="7"/>
        <v>7</v>
      </c>
      <c r="C117" s="88">
        <v>0.107749584833887</v>
      </c>
    </row>
    <row r="118" spans="1:3" x14ac:dyDescent="0.25">
      <c r="A118"/>
      <c r="B118">
        <f t="shared" si="7"/>
        <v>8</v>
      </c>
      <c r="C118" s="88">
        <v>0.169352640561096</v>
      </c>
    </row>
    <row r="119" spans="1:3" x14ac:dyDescent="0.25">
      <c r="A119"/>
      <c r="B119">
        <f t="shared" si="7"/>
        <v>9</v>
      </c>
      <c r="C119" s="88">
        <v>0.14557324401114499</v>
      </c>
    </row>
    <row r="120" spans="1:3" x14ac:dyDescent="0.25">
      <c r="A120"/>
      <c r="B120">
        <f t="shared" si="7"/>
        <v>10</v>
      </c>
      <c r="C120" s="88">
        <v>0.38146476264441997</v>
      </c>
    </row>
    <row r="121" spans="1:3" x14ac:dyDescent="0.25">
      <c r="A121"/>
      <c r="B121">
        <f t="shared" si="7"/>
        <v>11</v>
      </c>
      <c r="C121" s="88">
        <v>0.30150032822163197</v>
      </c>
    </row>
    <row r="122" spans="1:3" x14ac:dyDescent="0.25">
      <c r="A122"/>
      <c r="B122">
        <f t="shared" si="7"/>
        <v>12</v>
      </c>
      <c r="C122" s="88">
        <v>0.40193891478655602</v>
      </c>
    </row>
    <row r="123" spans="1:3" x14ac:dyDescent="0.25">
      <c r="A123">
        <f t="shared" ref="A123" si="11">A111+1</f>
        <v>2010</v>
      </c>
      <c r="B123">
        <f t="shared" si="7"/>
        <v>1</v>
      </c>
      <c r="C123" s="88">
        <v>0.25524492169165403</v>
      </c>
    </row>
    <row r="124" spans="1:3" x14ac:dyDescent="0.25">
      <c r="A124"/>
      <c r="B124">
        <f t="shared" si="7"/>
        <v>2</v>
      </c>
      <c r="C124" s="88">
        <v>-1.8710569714806599E-2</v>
      </c>
    </row>
    <row r="125" spans="1:3" x14ac:dyDescent="0.25">
      <c r="A125"/>
      <c r="B125">
        <f t="shared" si="7"/>
        <v>3</v>
      </c>
      <c r="C125" s="88">
        <v>-4.4772522801517299E-2</v>
      </c>
    </row>
    <row r="126" spans="1:3" x14ac:dyDescent="0.25">
      <c r="A126"/>
      <c r="B126">
        <f t="shared" si="7"/>
        <v>4</v>
      </c>
      <c r="C126" s="88">
        <v>0.115155321102261</v>
      </c>
    </row>
    <row r="127" spans="1:3" x14ac:dyDescent="0.25">
      <c r="A127"/>
      <c r="B127">
        <f t="shared" si="7"/>
        <v>5</v>
      </c>
      <c r="C127" s="88">
        <v>7.2358919903520905E-2</v>
      </c>
    </row>
    <row r="128" spans="1:3" x14ac:dyDescent="0.25">
      <c r="A128"/>
      <c r="B128">
        <f t="shared" si="7"/>
        <v>6</v>
      </c>
      <c r="C128" s="88">
        <v>5.7965561290152998E-2</v>
      </c>
    </row>
    <row r="129" spans="1:3" x14ac:dyDescent="0.25">
      <c r="A129"/>
      <c r="B129">
        <f t="shared" si="7"/>
        <v>7</v>
      </c>
      <c r="C129" s="88">
        <v>4.23672385478144E-2</v>
      </c>
    </row>
    <row r="130" spans="1:3" x14ac:dyDescent="0.25">
      <c r="A130"/>
      <c r="B130">
        <f t="shared" si="7"/>
        <v>8</v>
      </c>
      <c r="C130" s="88">
        <v>0.133027901861416</v>
      </c>
    </row>
    <row r="131" spans="1:3" x14ac:dyDescent="0.25">
      <c r="A131"/>
      <c r="B131">
        <f t="shared" si="7"/>
        <v>9</v>
      </c>
      <c r="C131" s="88">
        <v>0.31208623526338503</v>
      </c>
    </row>
    <row r="132" spans="1:3" x14ac:dyDescent="0.25">
      <c r="A132"/>
      <c r="B132">
        <f t="shared" si="7"/>
        <v>10</v>
      </c>
      <c r="C132" s="88">
        <v>0.44189333633089201</v>
      </c>
    </row>
    <row r="133" spans="1:3" x14ac:dyDescent="0.25">
      <c r="A133"/>
      <c r="B133">
        <f t="shared" si="7"/>
        <v>11</v>
      </c>
      <c r="C133" s="88">
        <v>0.51417348554777398</v>
      </c>
    </row>
    <row r="134" spans="1:3" x14ac:dyDescent="0.25">
      <c r="A134"/>
      <c r="B134">
        <f t="shared" si="7"/>
        <v>12</v>
      </c>
      <c r="C134" s="88">
        <v>0.35493416855881699</v>
      </c>
    </row>
    <row r="135" spans="1:3" x14ac:dyDescent="0.25">
      <c r="A135">
        <f t="shared" ref="A135" si="12">A123+1</f>
        <v>2011</v>
      </c>
      <c r="B135">
        <f t="shared" si="7"/>
        <v>1</v>
      </c>
      <c r="C135" s="88">
        <v>0.31978285372443999</v>
      </c>
    </row>
    <row r="136" spans="1:3" x14ac:dyDescent="0.25">
      <c r="A136"/>
      <c r="B136">
        <f t="shared" si="7"/>
        <v>2</v>
      </c>
      <c r="C136" s="88">
        <v>0.30422003585358598</v>
      </c>
    </row>
    <row r="137" spans="1:3" x14ac:dyDescent="0.25">
      <c r="A137"/>
      <c r="B137">
        <f t="shared" si="7"/>
        <v>3</v>
      </c>
      <c r="C137" s="88">
        <v>0.16013947320812799</v>
      </c>
    </row>
    <row r="138" spans="1:3" x14ac:dyDescent="0.25">
      <c r="A138"/>
      <c r="B138">
        <f t="shared" si="7"/>
        <v>4</v>
      </c>
      <c r="C138" s="88">
        <v>0.17972740457696801</v>
      </c>
    </row>
    <row r="139" spans="1:3" x14ac:dyDescent="0.25">
      <c r="A139"/>
      <c r="B139">
        <f t="shared" si="7"/>
        <v>5</v>
      </c>
      <c r="C139" s="88">
        <v>0.216309637911449</v>
      </c>
    </row>
    <row r="140" spans="1:3" x14ac:dyDescent="0.25">
      <c r="A140"/>
      <c r="B140">
        <f t="shared" si="7"/>
        <v>6</v>
      </c>
      <c r="C140" s="88">
        <v>0.25331518207725301</v>
      </c>
    </row>
    <row r="141" spans="1:3" x14ac:dyDescent="0.25">
      <c r="A141"/>
      <c r="B141">
        <f t="shared" si="7"/>
        <v>7</v>
      </c>
      <c r="C141" s="88">
        <v>0.26150522422966899</v>
      </c>
    </row>
    <row r="142" spans="1:3" x14ac:dyDescent="0.25">
      <c r="A142"/>
      <c r="B142">
        <f t="shared" si="7"/>
        <v>8</v>
      </c>
      <c r="C142" s="88">
        <v>0.22322765322333399</v>
      </c>
    </row>
    <row r="143" spans="1:3" x14ac:dyDescent="0.25">
      <c r="A143"/>
      <c r="B143">
        <f t="shared" si="7"/>
        <v>9</v>
      </c>
      <c r="C143" s="88">
        <v>6.2040832263207502E-2</v>
      </c>
    </row>
    <row r="144" spans="1:3" x14ac:dyDescent="0.25">
      <c r="A144"/>
      <c r="B144">
        <f t="shared" ref="B144:B207" si="13">B132</f>
        <v>10</v>
      </c>
      <c r="C144" s="88">
        <v>-4.2432398202625697E-2</v>
      </c>
    </row>
    <row r="145" spans="1:3" x14ac:dyDescent="0.25">
      <c r="A145"/>
      <c r="B145">
        <f t="shared" si="13"/>
        <v>11</v>
      </c>
      <c r="C145" s="88">
        <v>-0.13853709463451899</v>
      </c>
    </row>
    <row r="146" spans="1:3" x14ac:dyDescent="0.25">
      <c r="A146"/>
      <c r="B146">
        <f t="shared" si="13"/>
        <v>12</v>
      </c>
      <c r="C146" s="88">
        <v>-2.5995451238562998E-2</v>
      </c>
    </row>
    <row r="147" spans="1:3" x14ac:dyDescent="0.25">
      <c r="A147">
        <f t="shared" ref="A147" si="14">A135+1</f>
        <v>2012</v>
      </c>
      <c r="B147">
        <f t="shared" si="13"/>
        <v>1</v>
      </c>
      <c r="C147" s="88">
        <v>3.5670201285065997E-2</v>
      </c>
    </row>
    <row r="148" spans="1:3" x14ac:dyDescent="0.25">
      <c r="A148"/>
      <c r="B148">
        <f t="shared" si="13"/>
        <v>2</v>
      </c>
      <c r="C148" s="88">
        <v>0.177958183340476</v>
      </c>
    </row>
    <row r="149" spans="1:3" x14ac:dyDescent="0.25">
      <c r="A149"/>
      <c r="B149">
        <f t="shared" si="13"/>
        <v>3</v>
      </c>
      <c r="C149" s="88">
        <v>0.192764930701283</v>
      </c>
    </row>
    <row r="150" spans="1:3" x14ac:dyDescent="0.25">
      <c r="A150"/>
      <c r="B150">
        <f t="shared" si="13"/>
        <v>4</v>
      </c>
      <c r="C150" s="88">
        <v>0.14700408078250901</v>
      </c>
    </row>
    <row r="151" spans="1:3" x14ac:dyDescent="0.25">
      <c r="A151"/>
      <c r="B151">
        <f t="shared" si="13"/>
        <v>5</v>
      </c>
      <c r="C151" s="88">
        <v>-0.119836736247697</v>
      </c>
    </row>
    <row r="152" spans="1:3" x14ac:dyDescent="0.25">
      <c r="A152"/>
      <c r="B152">
        <f t="shared" si="13"/>
        <v>6</v>
      </c>
      <c r="C152" s="88">
        <v>-2.1947916751290798E-2</v>
      </c>
    </row>
    <row r="153" spans="1:3" x14ac:dyDescent="0.25">
      <c r="A153"/>
      <c r="B153">
        <f t="shared" si="13"/>
        <v>7</v>
      </c>
      <c r="C153" s="88">
        <v>3.7350960660348098E-3</v>
      </c>
    </row>
    <row r="154" spans="1:3" x14ac:dyDescent="0.25">
      <c r="A154"/>
      <c r="B154">
        <f t="shared" si="13"/>
        <v>8</v>
      </c>
      <c r="C154" s="88">
        <v>-9.9445233427127203E-2</v>
      </c>
    </row>
    <row r="155" spans="1:3" x14ac:dyDescent="0.25">
      <c r="A155"/>
      <c r="B155">
        <f t="shared" si="13"/>
        <v>9</v>
      </c>
      <c r="C155" s="88">
        <v>-0.16067191304107101</v>
      </c>
    </row>
    <row r="156" spans="1:3" x14ac:dyDescent="0.25">
      <c r="A156"/>
      <c r="B156">
        <f t="shared" si="13"/>
        <v>10</v>
      </c>
      <c r="C156" s="88">
        <v>-8.8681731983846601E-2</v>
      </c>
    </row>
    <row r="157" spans="1:3" x14ac:dyDescent="0.25">
      <c r="A157"/>
      <c r="B157">
        <f t="shared" si="13"/>
        <v>11</v>
      </c>
      <c r="C157" s="88">
        <v>5.0406871543076E-2</v>
      </c>
    </row>
    <row r="158" spans="1:3" x14ac:dyDescent="0.25">
      <c r="A158"/>
      <c r="B158">
        <f t="shared" si="13"/>
        <v>12</v>
      </c>
      <c r="C158" s="88">
        <v>0.105406003772488</v>
      </c>
    </row>
    <row r="159" spans="1:3" x14ac:dyDescent="0.25">
      <c r="A159">
        <f t="shared" ref="A159" si="15">A147+1</f>
        <v>2013</v>
      </c>
      <c r="B159">
        <f t="shared" si="13"/>
        <v>1</v>
      </c>
      <c r="C159" s="88">
        <v>0.14808281506269499</v>
      </c>
    </row>
    <row r="160" spans="1:3" x14ac:dyDescent="0.25">
      <c r="A160"/>
      <c r="B160">
        <f t="shared" si="13"/>
        <v>2</v>
      </c>
      <c r="C160" s="88">
        <v>9.1581887614058999E-2</v>
      </c>
    </row>
    <row r="161" spans="1:3" x14ac:dyDescent="0.25">
      <c r="A161"/>
      <c r="B161">
        <f t="shared" si="13"/>
        <v>3</v>
      </c>
      <c r="C161" s="88">
        <v>2.81199693830223E-2</v>
      </c>
    </row>
    <row r="162" spans="1:3" x14ac:dyDescent="0.25">
      <c r="A162"/>
      <c r="B162">
        <f t="shared" si="13"/>
        <v>4</v>
      </c>
      <c r="C162" s="88">
        <v>-6.6054379372359501E-2</v>
      </c>
    </row>
    <row r="163" spans="1:3" x14ac:dyDescent="0.25">
      <c r="A163"/>
      <c r="B163">
        <f t="shared" si="13"/>
        <v>5</v>
      </c>
      <c r="C163" s="88">
        <v>4.41877836178243E-2</v>
      </c>
    </row>
    <row r="164" spans="1:3" x14ac:dyDescent="0.25">
      <c r="A164"/>
      <c r="B164">
        <f t="shared" si="13"/>
        <v>6</v>
      </c>
      <c r="C164" s="88">
        <v>-7.0571228639011302E-2</v>
      </c>
    </row>
    <row r="165" spans="1:3" x14ac:dyDescent="0.25">
      <c r="A165"/>
      <c r="B165">
        <f t="shared" si="13"/>
        <v>7</v>
      </c>
      <c r="C165" s="88">
        <v>-1.5974033775135899E-2</v>
      </c>
    </row>
    <row r="166" spans="1:3" x14ac:dyDescent="0.25">
      <c r="A166"/>
      <c r="B166">
        <f t="shared" si="13"/>
        <v>8</v>
      </c>
      <c r="C166" s="88">
        <v>0.104640993735943</v>
      </c>
    </row>
    <row r="167" spans="1:3" x14ac:dyDescent="0.25">
      <c r="A167"/>
      <c r="B167">
        <f t="shared" si="13"/>
        <v>9</v>
      </c>
      <c r="C167" s="88">
        <v>6.3388613146661901E-2</v>
      </c>
    </row>
    <row r="168" spans="1:3" x14ac:dyDescent="0.25">
      <c r="A168"/>
      <c r="B168">
        <f t="shared" si="13"/>
        <v>10</v>
      </c>
      <c r="C168" s="88">
        <v>9.8192323122361994E-2</v>
      </c>
    </row>
    <row r="169" spans="1:3" x14ac:dyDescent="0.25">
      <c r="A169"/>
      <c r="B169">
        <f t="shared" si="13"/>
        <v>11</v>
      </c>
      <c r="C169" s="88">
        <v>4.6309116455573E-2</v>
      </c>
    </row>
    <row r="170" spans="1:3" x14ac:dyDescent="0.25">
      <c r="A170"/>
      <c r="B170">
        <f t="shared" si="13"/>
        <v>12</v>
      </c>
      <c r="C170" s="88">
        <v>-9.7101132794496399E-3</v>
      </c>
    </row>
    <row r="171" spans="1:3" x14ac:dyDescent="0.25">
      <c r="A171">
        <f t="shared" ref="A171" si="16">A159+1</f>
        <v>2014</v>
      </c>
      <c r="B171">
        <f t="shared" si="13"/>
        <v>1</v>
      </c>
      <c r="C171" s="88">
        <v>-6.2809502365691203E-2</v>
      </c>
    </row>
    <row r="172" spans="1:3" x14ac:dyDescent="0.25">
      <c r="A172"/>
      <c r="B172">
        <f t="shared" si="13"/>
        <v>2</v>
      </c>
      <c r="C172" s="88">
        <v>-0.114177541361939</v>
      </c>
    </row>
    <row r="173" spans="1:3" x14ac:dyDescent="0.25">
      <c r="A173"/>
      <c r="B173">
        <f t="shared" si="13"/>
        <v>3</v>
      </c>
      <c r="C173" s="88">
        <v>-0.21394025673925199</v>
      </c>
    </row>
    <row r="174" spans="1:3" x14ac:dyDescent="0.25">
      <c r="A174"/>
      <c r="B174">
        <f t="shared" si="13"/>
        <v>4</v>
      </c>
      <c r="C174" s="88">
        <v>-0.15228255412220901</v>
      </c>
    </row>
    <row r="175" spans="1:3" x14ac:dyDescent="0.25">
      <c r="A175"/>
      <c r="B175">
        <f t="shared" si="13"/>
        <v>5</v>
      </c>
      <c r="C175" s="88">
        <v>-7.6982593030667901E-2</v>
      </c>
    </row>
    <row r="176" spans="1:3" x14ac:dyDescent="0.25">
      <c r="A176"/>
      <c r="B176">
        <f t="shared" si="13"/>
        <v>6</v>
      </c>
      <c r="C176" s="88">
        <v>-1.8356415764856599E-2</v>
      </c>
    </row>
    <row r="177" spans="1:3" x14ac:dyDescent="0.25">
      <c r="A177"/>
      <c r="B177">
        <f t="shared" si="13"/>
        <v>7</v>
      </c>
      <c r="C177" s="88">
        <v>8.5470834063070794E-2</v>
      </c>
    </row>
    <row r="178" spans="1:3" x14ac:dyDescent="0.25">
      <c r="A178"/>
      <c r="B178">
        <f t="shared" si="13"/>
        <v>8</v>
      </c>
      <c r="C178" s="88">
        <v>-5.4590609556057199E-2</v>
      </c>
    </row>
    <row r="179" spans="1:3" x14ac:dyDescent="0.25">
      <c r="A179"/>
      <c r="B179">
        <f t="shared" si="13"/>
        <v>9</v>
      </c>
      <c r="C179" s="88">
        <v>-0.11519470704637701</v>
      </c>
    </row>
    <row r="180" spans="1:3" x14ac:dyDescent="0.25">
      <c r="A180"/>
      <c r="B180">
        <f t="shared" si="13"/>
        <v>10</v>
      </c>
      <c r="C180" s="88">
        <v>-0.175697386435747</v>
      </c>
    </row>
    <row r="181" spans="1:3" x14ac:dyDescent="0.25">
      <c r="A181"/>
      <c r="B181">
        <f t="shared" si="13"/>
        <v>11</v>
      </c>
      <c r="C181" s="88">
        <v>-0.28074531425180099</v>
      </c>
    </row>
    <row r="182" spans="1:3" x14ac:dyDescent="0.25">
      <c r="A182"/>
      <c r="B182">
        <f t="shared" si="13"/>
        <v>12</v>
      </c>
      <c r="C182" s="88">
        <v>-0.318469052785813</v>
      </c>
    </row>
    <row r="183" spans="1:3" x14ac:dyDescent="0.25">
      <c r="A183">
        <f t="shared" ref="A183" si="17">A171+1</f>
        <v>2015</v>
      </c>
      <c r="B183">
        <f t="shared" si="13"/>
        <v>1</v>
      </c>
      <c r="C183" s="88">
        <v>-0.34457534361238501</v>
      </c>
    </row>
    <row r="184" spans="1:3" x14ac:dyDescent="0.25">
      <c r="A184"/>
      <c r="B184">
        <f t="shared" si="13"/>
        <v>2</v>
      </c>
      <c r="C184" s="88">
        <v>-0.28962954939672902</v>
      </c>
    </row>
    <row r="185" spans="1:3" x14ac:dyDescent="0.25">
      <c r="A185"/>
      <c r="B185">
        <f t="shared" si="13"/>
        <v>3</v>
      </c>
      <c r="C185" s="88">
        <v>-0.39559956299653298</v>
      </c>
    </row>
    <row r="186" spans="1:3" x14ac:dyDescent="0.25">
      <c r="A186"/>
      <c r="B186">
        <f t="shared" si="13"/>
        <v>4</v>
      </c>
      <c r="C186" s="88">
        <v>-0.29067800356044898</v>
      </c>
    </row>
    <row r="187" spans="1:3" x14ac:dyDescent="0.25">
      <c r="A187"/>
      <c r="B187">
        <f t="shared" si="13"/>
        <v>5</v>
      </c>
      <c r="C187" s="88">
        <v>-0.17639717714071501</v>
      </c>
    </row>
    <row r="188" spans="1:3" x14ac:dyDescent="0.25">
      <c r="A188"/>
      <c r="B188">
        <f t="shared" si="13"/>
        <v>6</v>
      </c>
      <c r="C188" s="88">
        <v>-8.3886164699997906E-2</v>
      </c>
    </row>
    <row r="189" spans="1:3" x14ac:dyDescent="0.25">
      <c r="A189"/>
      <c r="B189">
        <f t="shared" si="13"/>
        <v>7</v>
      </c>
      <c r="C189" s="88">
        <v>-0.14838013262886299</v>
      </c>
    </row>
    <row r="190" spans="1:3" x14ac:dyDescent="0.25">
      <c r="A190"/>
      <c r="B190">
        <f t="shared" si="13"/>
        <v>8</v>
      </c>
      <c r="C190" s="88">
        <v>-0.261152941055798</v>
      </c>
    </row>
    <row r="191" spans="1:3" x14ac:dyDescent="0.25">
      <c r="A191"/>
      <c r="B191">
        <f t="shared" si="13"/>
        <v>9</v>
      </c>
      <c r="C191" s="88">
        <v>-0.24827775020389001</v>
      </c>
    </row>
    <row r="192" spans="1:3" x14ac:dyDescent="0.25">
      <c r="A192"/>
      <c r="B192">
        <f t="shared" si="13"/>
        <v>10</v>
      </c>
      <c r="C192" s="88">
        <v>-0.160890622490896</v>
      </c>
    </row>
    <row r="193" spans="1:3" x14ac:dyDescent="0.25">
      <c r="A193"/>
      <c r="B193">
        <f t="shared" si="13"/>
        <v>11</v>
      </c>
      <c r="C193" s="88">
        <v>-0.26490833308779099</v>
      </c>
    </row>
    <row r="194" spans="1:3" x14ac:dyDescent="0.25">
      <c r="A194"/>
      <c r="B194">
        <f t="shared" si="13"/>
        <v>12</v>
      </c>
      <c r="C194" s="88">
        <v>-0.24152302141163201</v>
      </c>
    </row>
    <row r="195" spans="1:3" x14ac:dyDescent="0.25">
      <c r="A195">
        <f t="shared" ref="A195" si="18">A183+1</f>
        <v>2016</v>
      </c>
      <c r="B195">
        <f t="shared" si="13"/>
        <v>1</v>
      </c>
      <c r="C195" s="88">
        <v>-0.25953313082114998</v>
      </c>
    </row>
    <row r="196" spans="1:3" x14ac:dyDescent="0.25">
      <c r="A196"/>
      <c r="B196">
        <f t="shared" si="13"/>
        <v>2</v>
      </c>
      <c r="C196" s="88">
        <v>-0.21994566126234499</v>
      </c>
    </row>
    <row r="197" spans="1:3" x14ac:dyDescent="0.25">
      <c r="A197"/>
      <c r="B197">
        <f t="shared" si="13"/>
        <v>3</v>
      </c>
      <c r="C197" s="88">
        <v>-2.2062491742768298E-2</v>
      </c>
    </row>
    <row r="198" spans="1:3" x14ac:dyDescent="0.25">
      <c r="A198"/>
      <c r="B198">
        <f t="shared" si="13"/>
        <v>4</v>
      </c>
      <c r="C198" s="88">
        <v>5.8451547838469703E-2</v>
      </c>
    </row>
    <row r="199" spans="1:3" x14ac:dyDescent="0.25">
      <c r="A199"/>
      <c r="B199">
        <f t="shared" si="13"/>
        <v>5</v>
      </c>
      <c r="C199" s="88">
        <v>1.5019623086586E-2</v>
      </c>
    </row>
    <row r="200" spans="1:3" x14ac:dyDescent="0.25">
      <c r="A200"/>
      <c r="B200">
        <f t="shared" si="13"/>
        <v>6</v>
      </c>
      <c r="C200" s="88">
        <v>-7.3437590190611199E-3</v>
      </c>
    </row>
    <row r="201" spans="1:3" x14ac:dyDescent="0.25">
      <c r="A201"/>
      <c r="B201">
        <f t="shared" si="13"/>
        <v>7</v>
      </c>
      <c r="C201" s="88">
        <v>3.7132042720880998E-2</v>
      </c>
    </row>
    <row r="202" spans="1:3" x14ac:dyDescent="0.25">
      <c r="A202"/>
      <c r="B202">
        <f t="shared" si="13"/>
        <v>8</v>
      </c>
      <c r="C202" s="88">
        <v>0.236526845287969</v>
      </c>
    </row>
    <row r="203" spans="1:3" x14ac:dyDescent="0.25">
      <c r="A203"/>
      <c r="B203">
        <f t="shared" si="13"/>
        <v>9</v>
      </c>
      <c r="C203" s="88">
        <v>0.22570416768611801</v>
      </c>
    </row>
    <row r="204" spans="1:3" x14ac:dyDescent="0.25">
      <c r="A204"/>
      <c r="B204">
        <f t="shared" si="13"/>
        <v>10</v>
      </c>
      <c r="C204" s="88">
        <v>0.37427086549379301</v>
      </c>
    </row>
    <row r="205" spans="1:3" x14ac:dyDescent="0.25">
      <c r="A205"/>
      <c r="B205">
        <f t="shared" si="13"/>
        <v>11</v>
      </c>
      <c r="C205" s="88">
        <v>0.57464993114660101</v>
      </c>
    </row>
    <row r="206" spans="1:3" x14ac:dyDescent="0.25">
      <c r="A206"/>
      <c r="B206">
        <f t="shared" si="13"/>
        <v>12</v>
      </c>
      <c r="C206" s="88">
        <v>0.441482653129328</v>
      </c>
    </row>
    <row r="207" spans="1:3" x14ac:dyDescent="0.25">
      <c r="A207">
        <f t="shared" ref="A207" si="19">A195+1</f>
        <v>2017</v>
      </c>
      <c r="B207">
        <f t="shared" si="13"/>
        <v>1</v>
      </c>
      <c r="C207" s="88">
        <v>0.43796765073469401</v>
      </c>
    </row>
    <row r="208" spans="1:3" x14ac:dyDescent="0.25">
      <c r="A208"/>
      <c r="B208">
        <f t="shared" ref="B208:B271" si="20">B196</f>
        <v>2</v>
      </c>
      <c r="C208" s="88">
        <v>0.477928287550697</v>
      </c>
    </row>
    <row r="209" spans="1:3" x14ac:dyDescent="0.25">
      <c r="A209"/>
      <c r="B209">
        <f t="shared" si="20"/>
        <v>3</v>
      </c>
      <c r="C209" s="88">
        <v>0.29515927402200998</v>
      </c>
    </row>
    <row r="210" spans="1:3" x14ac:dyDescent="0.25">
      <c r="A210"/>
      <c r="B210">
        <f t="shared" si="20"/>
        <v>4</v>
      </c>
      <c r="C210" s="88">
        <v>0.15529811574309099</v>
      </c>
    </row>
    <row r="211" spans="1:3" x14ac:dyDescent="0.25">
      <c r="A211"/>
      <c r="B211">
        <f t="shared" si="20"/>
        <v>5</v>
      </c>
      <c r="C211" s="88">
        <v>6.8379350999914199E-2</v>
      </c>
    </row>
    <row r="212" spans="1:3" x14ac:dyDescent="0.25">
      <c r="A212"/>
      <c r="B212">
        <f t="shared" si="20"/>
        <v>6</v>
      </c>
      <c r="C212" s="88">
        <v>5.5871852869873902E-2</v>
      </c>
    </row>
    <row r="213" spans="1:3" x14ac:dyDescent="0.25">
      <c r="A213"/>
      <c r="B213">
        <f t="shared" si="20"/>
        <v>7</v>
      </c>
      <c r="C213" s="88">
        <v>8.3326263225102504E-2</v>
      </c>
    </row>
    <row r="214" spans="1:3" x14ac:dyDescent="0.25">
      <c r="A214"/>
      <c r="B214">
        <f t="shared" si="20"/>
        <v>8</v>
      </c>
      <c r="C214" s="88">
        <v>0.16917571488212499</v>
      </c>
    </row>
    <row r="215" spans="1:3" x14ac:dyDescent="0.25">
      <c r="A215"/>
      <c r="B215">
        <f t="shared" si="20"/>
        <v>9</v>
      </c>
      <c r="C215" s="88">
        <v>0.18746849156134601</v>
      </c>
    </row>
    <row r="216" spans="1:3" x14ac:dyDescent="0.25">
      <c r="A216"/>
      <c r="B216">
        <f t="shared" si="20"/>
        <v>10</v>
      </c>
      <c r="C216" s="88">
        <v>8.2643971316391507E-2</v>
      </c>
    </row>
    <row r="217" spans="1:3" x14ac:dyDescent="0.25">
      <c r="A217"/>
      <c r="B217">
        <f t="shared" si="20"/>
        <v>11</v>
      </c>
      <c r="C217" s="88">
        <v>4.1239778803458402E-2</v>
      </c>
    </row>
    <row r="218" spans="1:3" x14ac:dyDescent="0.25">
      <c r="A218"/>
      <c r="B218">
        <f t="shared" si="20"/>
        <v>12</v>
      </c>
      <c r="C218" s="88">
        <v>9.8183672447741802E-2</v>
      </c>
    </row>
    <row r="219" spans="1:3" x14ac:dyDescent="0.25">
      <c r="A219">
        <f t="shared" ref="A219" si="21">A207+1</f>
        <v>2018</v>
      </c>
      <c r="B219">
        <f t="shared" si="20"/>
        <v>1</v>
      </c>
      <c r="C219" s="88">
        <v>0.130192907857066</v>
      </c>
    </row>
    <row r="220" spans="1:3" x14ac:dyDescent="0.25">
      <c r="A220"/>
      <c r="B220">
        <f t="shared" si="20"/>
        <v>2</v>
      </c>
      <c r="C220" s="88">
        <v>0.12742779531634399</v>
      </c>
    </row>
    <row r="221" spans="1:3" x14ac:dyDescent="0.25">
      <c r="A221"/>
      <c r="B221">
        <f t="shared" si="20"/>
        <v>3</v>
      </c>
      <c r="C221" s="88">
        <v>2.7833841406919E-2</v>
      </c>
    </row>
    <row r="222" spans="1:3" x14ac:dyDescent="0.25">
      <c r="A222"/>
      <c r="B222">
        <f t="shared" si="20"/>
        <v>4</v>
      </c>
      <c r="C222" s="88">
        <v>1.7052790815101099E-2</v>
      </c>
    </row>
    <row r="223" spans="1:3" x14ac:dyDescent="0.25">
      <c r="A223"/>
      <c r="B223">
        <f t="shared" si="20"/>
        <v>5</v>
      </c>
      <c r="C223" s="88">
        <v>0.104984987381208</v>
      </c>
    </row>
    <row r="224" spans="1:3" x14ac:dyDescent="0.25">
      <c r="A224"/>
      <c r="B224">
        <f t="shared" si="20"/>
        <v>6</v>
      </c>
      <c r="C224" s="88">
        <v>1.29223848700869E-2</v>
      </c>
    </row>
    <row r="225" spans="1:3" x14ac:dyDescent="0.25">
      <c r="A225"/>
      <c r="B225">
        <f t="shared" si="20"/>
        <v>7</v>
      </c>
      <c r="C225" s="88">
        <v>-2.3433638496230098E-2</v>
      </c>
    </row>
    <row r="226" spans="1:3" x14ac:dyDescent="0.25">
      <c r="A226"/>
      <c r="B226">
        <f t="shared" si="20"/>
        <v>8</v>
      </c>
      <c r="C226" s="88">
        <v>-3.90899565273123E-2</v>
      </c>
    </row>
    <row r="227" spans="1:3" x14ac:dyDescent="0.25">
      <c r="A227"/>
      <c r="B227">
        <f t="shared" si="20"/>
        <v>9</v>
      </c>
      <c r="C227" s="88">
        <v>-4.3946762648231101E-2</v>
      </c>
    </row>
    <row r="228" spans="1:3" x14ac:dyDescent="0.25">
      <c r="A228"/>
      <c r="B228">
        <f t="shared" si="20"/>
        <v>10</v>
      </c>
      <c r="C228" s="88">
        <v>-4.8614787415711902E-2</v>
      </c>
    </row>
    <row r="229" spans="1:3" x14ac:dyDescent="0.25">
      <c r="A229"/>
      <c r="B229">
        <f t="shared" si="20"/>
        <v>11</v>
      </c>
      <c r="C229" s="88">
        <v>-0.122551258363161</v>
      </c>
    </row>
    <row r="230" spans="1:3" x14ac:dyDescent="0.25">
      <c r="A230"/>
      <c r="B230">
        <f t="shared" si="20"/>
        <v>12</v>
      </c>
      <c r="C230" s="88">
        <v>-0.110880567462718</v>
      </c>
    </row>
    <row r="231" spans="1:3" x14ac:dyDescent="0.25">
      <c r="A231">
        <f t="shared" ref="A231" si="22">A219+1</f>
        <v>2019</v>
      </c>
      <c r="B231">
        <f t="shared" si="20"/>
        <v>1</v>
      </c>
      <c r="C231" s="88">
        <v>-4.4480444644806501E-2</v>
      </c>
    </row>
    <row r="232" spans="1:3" x14ac:dyDescent="0.25">
      <c r="A232"/>
      <c r="B232">
        <f t="shared" si="20"/>
        <v>2</v>
      </c>
      <c r="C232" s="88">
        <v>-7.6270100927994296E-3</v>
      </c>
    </row>
    <row r="233" spans="1:3" x14ac:dyDescent="0.25">
      <c r="A233"/>
      <c r="B233">
        <f t="shared" si="20"/>
        <v>3</v>
      </c>
      <c r="C233" s="88">
        <v>4.6045290598857098E-2</v>
      </c>
    </row>
    <row r="234" spans="1:3" x14ac:dyDescent="0.25">
      <c r="A234"/>
      <c r="B234">
        <f t="shared" si="20"/>
        <v>4</v>
      </c>
      <c r="C234" s="88">
        <v>2.8101280366699202E-2</v>
      </c>
    </row>
    <row r="235" spans="1:3" x14ac:dyDescent="0.25">
      <c r="A235"/>
      <c r="B235">
        <f t="shared" si="20"/>
        <v>5</v>
      </c>
      <c r="C235" s="88">
        <v>-0.11032319882376899</v>
      </c>
    </row>
    <row r="236" spans="1:3" x14ac:dyDescent="0.25">
      <c r="A236"/>
      <c r="B236">
        <f t="shared" si="20"/>
        <v>6</v>
      </c>
      <c r="C236" s="88">
        <v>-6.6091310990701604E-2</v>
      </c>
    </row>
    <row r="237" spans="1:3" x14ac:dyDescent="0.25">
      <c r="A237"/>
      <c r="B237">
        <f t="shared" si="20"/>
        <v>7</v>
      </c>
      <c r="C237" s="88">
        <v>4.2704447331330303E-2</v>
      </c>
    </row>
    <row r="238" spans="1:3" x14ac:dyDescent="0.25">
      <c r="A238"/>
      <c r="B238">
        <f t="shared" si="20"/>
        <v>8</v>
      </c>
      <c r="C238" s="88">
        <v>-6.8019564607902303E-2</v>
      </c>
    </row>
    <row r="239" spans="1:3" x14ac:dyDescent="0.25">
      <c r="A239"/>
      <c r="B239">
        <f t="shared" si="20"/>
        <v>9</v>
      </c>
      <c r="C239" s="88">
        <v>-0.123243924376714</v>
      </c>
    </row>
    <row r="240" spans="1:3" x14ac:dyDescent="0.25">
      <c r="A240"/>
      <c r="B240">
        <f t="shared" si="20"/>
        <v>10</v>
      </c>
      <c r="C240" s="88">
        <v>-0.12427130864909899</v>
      </c>
    </row>
    <row r="241" spans="1:3" x14ac:dyDescent="0.25">
      <c r="A241"/>
      <c r="B241">
        <f t="shared" si="20"/>
        <v>11</v>
      </c>
      <c r="C241" s="88">
        <v>-0.101512682354513</v>
      </c>
    </row>
    <row r="242" spans="1:3" x14ac:dyDescent="0.25">
      <c r="A242"/>
      <c r="B242">
        <f t="shared" si="20"/>
        <v>12</v>
      </c>
      <c r="C242" s="88">
        <v>-4.3982703683424801E-2</v>
      </c>
    </row>
    <row r="243" spans="1:3" x14ac:dyDescent="0.25">
      <c r="A243">
        <f t="shared" ref="A243" si="23">A231+1</f>
        <v>2020</v>
      </c>
      <c r="B243">
        <f t="shared" si="20"/>
        <v>1</v>
      </c>
      <c r="C243" s="88">
        <v>-0.103425433403097</v>
      </c>
    </row>
    <row r="244" spans="1:3" x14ac:dyDescent="0.25">
      <c r="A244"/>
      <c r="B244">
        <f t="shared" si="20"/>
        <v>2</v>
      </c>
      <c r="C244" s="88">
        <v>-1.97922255614622</v>
      </c>
    </row>
    <row r="245" spans="1:3" x14ac:dyDescent="0.25">
      <c r="A245"/>
      <c r="B245">
        <f t="shared" si="20"/>
        <v>3</v>
      </c>
      <c r="C245" s="88">
        <v>0.178988486557911</v>
      </c>
    </row>
    <row r="246" spans="1:3" x14ac:dyDescent="0.25">
      <c r="A246"/>
      <c r="B246">
        <f t="shared" si="20"/>
        <v>4</v>
      </c>
      <c r="C246" s="88">
        <v>0.15333947279288801</v>
      </c>
    </row>
    <row r="247" spans="1:3" x14ac:dyDescent="0.25">
      <c r="A247"/>
      <c r="B247">
        <f t="shared" si="20"/>
        <v>5</v>
      </c>
      <c r="C247" s="88">
        <v>-2.1962234914252799E-2</v>
      </c>
    </row>
    <row r="248" spans="1:3" x14ac:dyDescent="0.25">
      <c r="A248"/>
      <c r="B248">
        <f t="shared" si="20"/>
        <v>6</v>
      </c>
      <c r="C248" s="88">
        <v>9.5026979547638401E-3</v>
      </c>
    </row>
    <row r="249" spans="1:3" x14ac:dyDescent="0.25">
      <c r="A249"/>
      <c r="B249">
        <f t="shared" si="20"/>
        <v>7</v>
      </c>
      <c r="C249" s="88">
        <v>8.2660869780832494E-2</v>
      </c>
    </row>
    <row r="250" spans="1:3" x14ac:dyDescent="0.25">
      <c r="A250"/>
      <c r="B250">
        <f t="shared" si="20"/>
        <v>8</v>
      </c>
      <c r="C250" s="88">
        <v>8.2581651455086502E-2</v>
      </c>
    </row>
    <row r="251" spans="1:3" x14ac:dyDescent="0.25">
      <c r="A251"/>
      <c r="B251">
        <f t="shared" si="20"/>
        <v>9</v>
      </c>
      <c r="C251" s="88">
        <v>8.9383409043191295E-2</v>
      </c>
    </row>
    <row r="252" spans="1:3" x14ac:dyDescent="0.25">
      <c r="A252"/>
      <c r="B252">
        <f t="shared" si="20"/>
        <v>10</v>
      </c>
      <c r="C252" s="88">
        <v>0.14594055886115501</v>
      </c>
    </row>
    <row r="253" spans="1:3" x14ac:dyDescent="0.25">
      <c r="A253"/>
      <c r="B253">
        <f t="shared" si="20"/>
        <v>11</v>
      </c>
      <c r="C253" s="88">
        <v>7.4366961176323396E-2</v>
      </c>
    </row>
    <row r="254" spans="1:3" x14ac:dyDescent="0.25">
      <c r="A254"/>
      <c r="B254">
        <f t="shared" si="20"/>
        <v>12</v>
      </c>
      <c r="C254" s="88">
        <v>8.0579395328592304E-2</v>
      </c>
    </row>
    <row r="255" spans="1:3" x14ac:dyDescent="0.25">
      <c r="A255">
        <f t="shared" ref="A255" si="24">A243+1</f>
        <v>2021</v>
      </c>
      <c r="B255">
        <f t="shared" si="20"/>
        <v>1</v>
      </c>
      <c r="C255" s="88">
        <v>9.16139023802751E-2</v>
      </c>
    </row>
    <row r="256" spans="1:3" x14ac:dyDescent="0.25">
      <c r="A256"/>
      <c r="B256">
        <f t="shared" si="20"/>
        <v>2</v>
      </c>
      <c r="C256" s="88">
        <v>9.7085339325871503E-2</v>
      </c>
    </row>
    <row r="257" spans="1:3" x14ac:dyDescent="0.25">
      <c r="A257"/>
      <c r="B257">
        <f t="shared" si="20"/>
        <v>3</v>
      </c>
      <c r="C257" s="88">
        <v>5.8882444450623801E-2</v>
      </c>
    </row>
    <row r="258" spans="1:3" x14ac:dyDescent="0.25">
      <c r="A258"/>
      <c r="B258">
        <f t="shared" si="20"/>
        <v>4</v>
      </c>
      <c r="C258" s="88">
        <v>3.04394874187204E-2</v>
      </c>
    </row>
    <row r="259" spans="1:3" x14ac:dyDescent="0.25">
      <c r="A259"/>
      <c r="B259">
        <f t="shared" si="20"/>
        <v>5</v>
      </c>
      <c r="C259" s="88">
        <v>6.2347292980839401E-2</v>
      </c>
    </row>
    <row r="260" spans="1:3" x14ac:dyDescent="0.25">
      <c r="A260"/>
      <c r="B260">
        <f t="shared" si="20"/>
        <v>6</v>
      </c>
      <c r="C260" s="88">
        <v>3.5551109890235903E-2</v>
      </c>
    </row>
    <row r="261" spans="1:3" x14ac:dyDescent="0.25">
      <c r="A261"/>
      <c r="B261">
        <f t="shared" si="20"/>
        <v>7</v>
      </c>
      <c r="C261" s="88">
        <v>3.0696608981392901E-2</v>
      </c>
    </row>
    <row r="262" spans="1:3" x14ac:dyDescent="0.25">
      <c r="A262"/>
      <c r="B262">
        <f t="shared" si="20"/>
        <v>8</v>
      </c>
      <c r="C262" s="88">
        <v>-0.121711448310072</v>
      </c>
    </row>
    <row r="263" spans="1:3" x14ac:dyDescent="0.25">
      <c r="A263"/>
      <c r="B263">
        <f t="shared" si="20"/>
        <v>9</v>
      </c>
      <c r="C263" s="88">
        <v>-0.29023443060606002</v>
      </c>
    </row>
    <row r="264" spans="1:3" x14ac:dyDescent="0.25">
      <c r="A264"/>
      <c r="B264">
        <f t="shared" si="20"/>
        <v>10</v>
      </c>
      <c r="C264" s="88">
        <v>-0.198598571508975</v>
      </c>
    </row>
    <row r="265" spans="1:3" x14ac:dyDescent="0.25">
      <c r="A265"/>
      <c r="B265">
        <f t="shared" si="20"/>
        <v>11</v>
      </c>
      <c r="C265" s="88">
        <v>-8.1000985690793698E-2</v>
      </c>
    </row>
    <row r="266" spans="1:3" x14ac:dyDescent="0.25">
      <c r="A266"/>
      <c r="B266">
        <f t="shared" si="20"/>
        <v>12</v>
      </c>
      <c r="C266" s="88">
        <v>-0.123457563959808</v>
      </c>
    </row>
    <row r="267" spans="1:3" x14ac:dyDescent="0.25">
      <c r="A267">
        <f t="shared" ref="A267" si="25">A255+1</f>
        <v>2022</v>
      </c>
      <c r="B267">
        <f t="shared" si="20"/>
        <v>1</v>
      </c>
      <c r="C267" s="88">
        <v>-6.5764287795511994E-2</v>
      </c>
    </row>
    <row r="268" spans="1:3" x14ac:dyDescent="0.25">
      <c r="A268"/>
      <c r="B268">
        <f t="shared" si="20"/>
        <v>2</v>
      </c>
      <c r="C268" s="88">
        <v>0.16315162546141401</v>
      </c>
    </row>
    <row r="269" spans="1:3" x14ac:dyDescent="0.25">
      <c r="A269"/>
      <c r="B269">
        <f t="shared" si="20"/>
        <v>3</v>
      </c>
      <c r="C269" s="88">
        <v>-4.5870997727475403E-2</v>
      </c>
    </row>
    <row r="270" spans="1:3" x14ac:dyDescent="0.25">
      <c r="A270"/>
      <c r="B270">
        <f t="shared" si="20"/>
        <v>4</v>
      </c>
      <c r="C270" s="88">
        <v>-2.12355487366678E-2</v>
      </c>
    </row>
    <row r="271" spans="1:3" x14ac:dyDescent="0.25">
      <c r="A271"/>
      <c r="B271">
        <f t="shared" si="20"/>
        <v>5</v>
      </c>
      <c r="C271" s="88">
        <v>0.13036303359596599</v>
      </c>
    </row>
    <row r="272" spans="1:3" x14ac:dyDescent="0.25">
      <c r="A272"/>
      <c r="B272">
        <f t="shared" ref="B272:B300" si="26">B260</f>
        <v>6</v>
      </c>
      <c r="C272" s="88">
        <v>0.15273812561667799</v>
      </c>
    </row>
    <row r="273" spans="1:3" x14ac:dyDescent="0.25">
      <c r="A273"/>
      <c r="B273">
        <f t="shared" si="26"/>
        <v>7</v>
      </c>
      <c r="C273" s="88">
        <v>-2.8473771845687001E-2</v>
      </c>
    </row>
    <row r="274" spans="1:3" x14ac:dyDescent="0.25">
      <c r="A274"/>
      <c r="B274">
        <f t="shared" si="26"/>
        <v>8</v>
      </c>
      <c r="C274" s="88">
        <v>-6.1882415233550703E-2</v>
      </c>
    </row>
    <row r="275" spans="1:3" x14ac:dyDescent="0.25">
      <c r="A275"/>
      <c r="B275">
        <f t="shared" si="26"/>
        <v>9</v>
      </c>
      <c r="C275" s="88">
        <v>9.6917416514684301E-2</v>
      </c>
    </row>
    <row r="276" spans="1:3" x14ac:dyDescent="0.25">
      <c r="A276"/>
      <c r="B276">
        <f t="shared" si="26"/>
        <v>10</v>
      </c>
      <c r="C276" s="88">
        <v>-6.0776673629589599E-3</v>
      </c>
    </row>
    <row r="277" spans="1:3" x14ac:dyDescent="0.25">
      <c r="A277"/>
      <c r="B277">
        <f t="shared" si="26"/>
        <v>11</v>
      </c>
      <c r="C277" s="88">
        <v>-0.192212416453722</v>
      </c>
    </row>
    <row r="278" spans="1:3" x14ac:dyDescent="0.25">
      <c r="A278"/>
      <c r="B278">
        <f t="shared" si="26"/>
        <v>12</v>
      </c>
      <c r="C278" s="88">
        <v>-0.224860308430999</v>
      </c>
    </row>
    <row r="279" spans="1:3" x14ac:dyDescent="0.25">
      <c r="A279">
        <f t="shared" ref="A279" si="27">A267+1</f>
        <v>2023</v>
      </c>
      <c r="B279">
        <f t="shared" si="26"/>
        <v>1</v>
      </c>
      <c r="C279" s="88">
        <v>0.168992853165433</v>
      </c>
    </row>
    <row r="280" spans="1:3" x14ac:dyDescent="0.25">
      <c r="A280"/>
      <c r="B280">
        <f t="shared" si="26"/>
        <v>2</v>
      </c>
      <c r="C280" s="88">
        <v>0.39985135598557803</v>
      </c>
    </row>
    <row r="281" spans="1:3" x14ac:dyDescent="0.25">
      <c r="A281"/>
      <c r="B281">
        <f t="shared" si="26"/>
        <v>3</v>
      </c>
      <c r="C281" s="88">
        <v>7.1386511969494706E-2</v>
      </c>
    </row>
    <row r="282" spans="1:3" x14ac:dyDescent="0.25">
      <c r="A282"/>
      <c r="B282">
        <f t="shared" si="26"/>
        <v>4</v>
      </c>
      <c r="C282" s="88">
        <v>-0.14972319210771101</v>
      </c>
    </row>
    <row r="283" spans="1:3" x14ac:dyDescent="0.25">
      <c r="A283"/>
      <c r="B283">
        <f t="shared" si="26"/>
        <v>5</v>
      </c>
      <c r="C283" s="88">
        <v>-0.27808077966065298</v>
      </c>
    </row>
    <row r="284" spans="1:3" x14ac:dyDescent="0.25">
      <c r="A284"/>
      <c r="B284">
        <f t="shared" si="26"/>
        <v>6</v>
      </c>
      <c r="C284" s="88">
        <v>-0.236422554050883</v>
      </c>
    </row>
    <row r="285" spans="1:3" x14ac:dyDescent="0.25">
      <c r="A285"/>
      <c r="B285">
        <f t="shared" si="26"/>
        <v>7</v>
      </c>
      <c r="C285" s="88">
        <v>-7.5538671401767399E-2</v>
      </c>
    </row>
    <row r="286" spans="1:3" x14ac:dyDescent="0.25">
      <c r="A286"/>
      <c r="B286">
        <f t="shared" si="26"/>
        <v>8</v>
      </c>
      <c r="C286" s="88">
        <v>1.23598280385771E-2</v>
      </c>
    </row>
    <row r="287" spans="1:3" x14ac:dyDescent="0.25">
      <c r="A287"/>
      <c r="B287">
        <f t="shared" si="26"/>
        <v>9</v>
      </c>
      <c r="C287" s="88">
        <v>6.9637144414375504E-2</v>
      </c>
    </row>
    <row r="288" spans="1:3" x14ac:dyDescent="0.25">
      <c r="A288"/>
      <c r="B288">
        <f t="shared" si="26"/>
        <v>10</v>
      </c>
      <c r="C288" s="88">
        <v>8.0145600854080207E-2</v>
      </c>
    </row>
    <row r="289" spans="1:3" x14ac:dyDescent="0.25">
      <c r="A289"/>
      <c r="B289">
        <f t="shared" si="26"/>
        <v>11</v>
      </c>
      <c r="C289" s="88">
        <v>0.12437713852594801</v>
      </c>
    </row>
    <row r="290" spans="1:3" x14ac:dyDescent="0.25">
      <c r="A290"/>
      <c r="B290">
        <f t="shared" si="26"/>
        <v>12</v>
      </c>
      <c r="C290" s="88">
        <v>2.0178581465233401E-2</v>
      </c>
    </row>
    <row r="291" spans="1:3" x14ac:dyDescent="0.25">
      <c r="A291">
        <f t="shared" ref="A291" si="28">A279+1</f>
        <v>2024</v>
      </c>
      <c r="B291">
        <f t="shared" si="26"/>
        <v>1</v>
      </c>
      <c r="C291" s="88">
        <v>7.8003128325025803E-2</v>
      </c>
    </row>
    <row r="292" spans="1:3" x14ac:dyDescent="0.25">
      <c r="A292"/>
      <c r="B292">
        <f t="shared" si="26"/>
        <v>2</v>
      </c>
      <c r="C292" s="88">
        <v>-2.1642451709454599E-2</v>
      </c>
    </row>
    <row r="293" spans="1:3" x14ac:dyDescent="0.25">
      <c r="A293"/>
      <c r="B293">
        <f t="shared" si="26"/>
        <v>3</v>
      </c>
      <c r="C293" s="88">
        <v>-1.57290966622434E-2</v>
      </c>
    </row>
    <row r="294" spans="1:3" x14ac:dyDescent="0.25">
      <c r="A294"/>
      <c r="B294">
        <f t="shared" si="26"/>
        <v>4</v>
      </c>
      <c r="C294" s="88">
        <v>0.13468663939513001</v>
      </c>
    </row>
    <row r="295" spans="1:3" x14ac:dyDescent="0.25">
      <c r="A295"/>
      <c r="B295">
        <f t="shared" si="26"/>
        <v>5</v>
      </c>
      <c r="C295" s="88">
        <v>-2.5346629060236901E-2</v>
      </c>
    </row>
    <row r="296" spans="1:3" x14ac:dyDescent="0.25">
      <c r="A296"/>
      <c r="B296">
        <f t="shared" si="26"/>
        <v>6</v>
      </c>
      <c r="C296" s="88">
        <v>-5.3544809690436901E-2</v>
      </c>
    </row>
    <row r="297" spans="1:3" x14ac:dyDescent="0.25">
      <c r="A297"/>
      <c r="B297">
        <f t="shared" si="26"/>
        <v>7</v>
      </c>
      <c r="C297" s="88">
        <v>2.0599787983948702E-2</v>
      </c>
    </row>
    <row r="298" spans="1:3" x14ac:dyDescent="0.25">
      <c r="A298"/>
      <c r="B298">
        <f t="shared" si="26"/>
        <v>8</v>
      </c>
      <c r="C298" s="88">
        <v>-2.1713685460163799E-2</v>
      </c>
    </row>
    <row r="299" spans="1:3" x14ac:dyDescent="0.25">
      <c r="A299"/>
      <c r="B299">
        <f t="shared" si="26"/>
        <v>9</v>
      </c>
      <c r="C299" s="88">
        <v>-1.93662904244888E-2</v>
      </c>
    </row>
    <row r="300" spans="1:3" x14ac:dyDescent="0.25">
      <c r="A300"/>
      <c r="B300">
        <f t="shared" si="26"/>
        <v>10</v>
      </c>
      <c r="C300" s="88">
        <v>6.8913655511900901E-2</v>
      </c>
    </row>
    <row r="301" spans="1:3" x14ac:dyDescent="0.25">
      <c r="A301"/>
      <c r="B301">
        <f>B289</f>
        <v>11</v>
      </c>
      <c r="C301" s="88">
        <v>5.3146289837930502E-2</v>
      </c>
    </row>
    <row r="302" spans="1:3" x14ac:dyDescent="0.25">
      <c r="A302"/>
      <c r="B302">
        <f t="shared" ref="B302:B326" si="29">B290</f>
        <v>12</v>
      </c>
      <c r="C302" s="88">
        <v>-1.03748487306636E-2</v>
      </c>
    </row>
    <row r="303" spans="1:3" x14ac:dyDescent="0.25">
      <c r="A303">
        <f t="shared" ref="A303" si="30">A291+1</f>
        <v>2025</v>
      </c>
      <c r="B303">
        <f t="shared" si="29"/>
        <v>1</v>
      </c>
    </row>
    <row r="304" spans="1:3" x14ac:dyDescent="0.25">
      <c r="A304"/>
      <c r="B304">
        <f t="shared" si="29"/>
        <v>2</v>
      </c>
    </row>
    <row r="305" spans="1:2" x14ac:dyDescent="0.25">
      <c r="A305"/>
      <c r="B305">
        <f t="shared" si="29"/>
        <v>3</v>
      </c>
    </row>
    <row r="306" spans="1:2" x14ac:dyDescent="0.25">
      <c r="A306"/>
      <c r="B306">
        <f t="shared" si="29"/>
        <v>4</v>
      </c>
    </row>
    <row r="307" spans="1:2" x14ac:dyDescent="0.25">
      <c r="A307"/>
      <c r="B307">
        <f t="shared" si="29"/>
        <v>5</v>
      </c>
    </row>
    <row r="308" spans="1:2" x14ac:dyDescent="0.25">
      <c r="A308"/>
      <c r="B308">
        <f t="shared" si="29"/>
        <v>6</v>
      </c>
    </row>
    <row r="309" spans="1:2" x14ac:dyDescent="0.25">
      <c r="A309"/>
      <c r="B309">
        <f t="shared" si="29"/>
        <v>7</v>
      </c>
    </row>
    <row r="310" spans="1:2" x14ac:dyDescent="0.25">
      <c r="A310"/>
      <c r="B310">
        <f t="shared" si="29"/>
        <v>8</v>
      </c>
    </row>
    <row r="311" spans="1:2" x14ac:dyDescent="0.25">
      <c r="A311"/>
      <c r="B311">
        <f t="shared" si="29"/>
        <v>9</v>
      </c>
    </row>
    <row r="312" spans="1:2" x14ac:dyDescent="0.25">
      <c r="A312"/>
      <c r="B312">
        <f t="shared" si="29"/>
        <v>10</v>
      </c>
    </row>
    <row r="313" spans="1:2" x14ac:dyDescent="0.25">
      <c r="A313"/>
      <c r="B313">
        <f t="shared" si="29"/>
        <v>11</v>
      </c>
    </row>
    <row r="314" spans="1:2" x14ac:dyDescent="0.25">
      <c r="A314"/>
      <c r="B314">
        <f t="shared" si="29"/>
        <v>12</v>
      </c>
    </row>
    <row r="315" spans="1:2" x14ac:dyDescent="0.25">
      <c r="A315">
        <f t="shared" ref="A315" si="31">A303+1</f>
        <v>2026</v>
      </c>
      <c r="B315">
        <f t="shared" si="29"/>
        <v>1</v>
      </c>
    </row>
    <row r="316" spans="1:2" x14ac:dyDescent="0.25">
      <c r="A316"/>
      <c r="B316">
        <f t="shared" si="29"/>
        <v>2</v>
      </c>
    </row>
    <row r="317" spans="1:2" x14ac:dyDescent="0.25">
      <c r="A317"/>
      <c r="B317">
        <f t="shared" si="29"/>
        <v>3</v>
      </c>
    </row>
    <row r="318" spans="1:2" x14ac:dyDescent="0.25">
      <c r="A318"/>
      <c r="B318">
        <f t="shared" si="29"/>
        <v>4</v>
      </c>
    </row>
    <row r="319" spans="1:2" x14ac:dyDescent="0.25">
      <c r="A319"/>
      <c r="B319">
        <f t="shared" si="29"/>
        <v>5</v>
      </c>
    </row>
    <row r="320" spans="1:2" x14ac:dyDescent="0.25">
      <c r="A320"/>
      <c r="B320">
        <f t="shared" si="29"/>
        <v>6</v>
      </c>
    </row>
    <row r="321" spans="1:2" x14ac:dyDescent="0.25">
      <c r="A321"/>
      <c r="B321">
        <f t="shared" si="29"/>
        <v>7</v>
      </c>
    </row>
    <row r="322" spans="1:2" x14ac:dyDescent="0.25">
      <c r="A322"/>
      <c r="B322">
        <f t="shared" si="29"/>
        <v>8</v>
      </c>
    </row>
    <row r="323" spans="1:2" x14ac:dyDescent="0.25">
      <c r="A323"/>
      <c r="B323">
        <f t="shared" si="29"/>
        <v>9</v>
      </c>
    </row>
    <row r="324" spans="1:2" x14ac:dyDescent="0.25">
      <c r="A324"/>
      <c r="B324">
        <f t="shared" si="29"/>
        <v>10</v>
      </c>
    </row>
    <row r="325" spans="1:2" x14ac:dyDescent="0.25">
      <c r="A325"/>
      <c r="B325">
        <f t="shared" si="29"/>
        <v>11</v>
      </c>
    </row>
    <row r="326" spans="1:2" x14ac:dyDescent="0.25">
      <c r="A326"/>
      <c r="B326">
        <f t="shared" si="29"/>
        <v>12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D0E4-DB92-4C47-BC07-9A726F9D457A}">
  <sheetPr>
    <tabColor theme="5"/>
  </sheetPr>
  <dimension ref="A1:AN106"/>
  <sheetViews>
    <sheetView showGridLines="0" zoomScale="85" zoomScaleNormal="85" workbookViewId="0">
      <pane xSplit="12" ySplit="2" topLeftCell="M3" activePane="bottomRight" state="frozen"/>
      <selection pane="topRight" activeCell="N1" sqref="N1"/>
      <selection pane="bottomLeft" activeCell="A3" sqref="A3"/>
      <selection pane="bottomRight" activeCell="M3" sqref="M3"/>
    </sheetView>
  </sheetViews>
  <sheetFormatPr defaultRowHeight="13.2" x14ac:dyDescent="0.25"/>
  <cols>
    <col min="1" max="8" width="8.77734375" style="2" customWidth="1"/>
    <col min="9" max="9" width="2.44140625" style="1" customWidth="1"/>
    <col min="10" max="10" width="4.77734375" customWidth="1"/>
    <col min="11" max="11" width="5" bestFit="1" customWidth="1"/>
    <col min="12" max="12" width="2" bestFit="1" customWidth="1"/>
    <col min="13" max="13" width="4.109375" style="7" bestFit="1" customWidth="1"/>
    <col min="14" max="14" width="6.77734375" bestFit="1" customWidth="1"/>
    <col min="15" max="15" width="5.6640625" bestFit="1" customWidth="1"/>
    <col min="16" max="16" width="7.109375" style="8" bestFit="1" customWidth="1"/>
    <col min="17" max="17" width="8.77734375" style="7"/>
    <col min="18" max="18" width="8.77734375"/>
    <col min="19" max="19" width="8.77734375" style="8"/>
    <col min="20" max="20" width="8.88671875" style="7"/>
    <col min="29" max="29" width="8.88671875" style="8"/>
    <col min="30" max="30" width="8.88671875" style="7"/>
    <col min="32" max="32" width="8.88671875" style="8"/>
    <col min="33" max="33" width="10.33203125" style="7" customWidth="1"/>
    <col min="34" max="34" width="10.33203125" customWidth="1"/>
    <col min="35" max="35" width="10.33203125" style="8" customWidth="1"/>
    <col min="36" max="36" width="10.6640625" style="7" customWidth="1"/>
    <col min="37" max="37" width="10.6640625" style="8" customWidth="1"/>
    <col min="38" max="38" width="10.44140625" bestFit="1" customWidth="1"/>
  </cols>
  <sheetData>
    <row r="1" spans="1:40" s="45" customFormat="1" x14ac:dyDescent="0.25">
      <c r="A1" s="38"/>
      <c r="B1" s="38"/>
      <c r="C1" s="38"/>
      <c r="D1" s="38"/>
      <c r="E1" s="38"/>
      <c r="F1" s="38"/>
      <c r="G1" s="38"/>
      <c r="H1" s="38"/>
      <c r="I1" s="53"/>
      <c r="J1" s="54"/>
      <c r="K1" s="54"/>
      <c r="L1" s="54"/>
      <c r="M1" s="42" t="s">
        <v>46</v>
      </c>
      <c r="N1" s="43"/>
      <c r="O1" s="43"/>
      <c r="P1" s="44"/>
      <c r="Q1" s="42" t="s">
        <v>63</v>
      </c>
      <c r="R1" s="43"/>
      <c r="S1" s="44"/>
      <c r="T1" s="42" t="s">
        <v>95</v>
      </c>
      <c r="U1" s="43"/>
      <c r="V1" s="43"/>
      <c r="W1" s="43"/>
      <c r="X1" s="43"/>
      <c r="Y1" s="43"/>
      <c r="Z1" s="43"/>
      <c r="AA1" s="43"/>
      <c r="AB1" s="43"/>
      <c r="AC1" s="44"/>
      <c r="AD1" s="42" t="s">
        <v>93</v>
      </c>
      <c r="AE1" s="43"/>
      <c r="AF1" s="44"/>
      <c r="AG1" s="42" t="s">
        <v>123</v>
      </c>
      <c r="AH1" s="43"/>
      <c r="AI1" s="44"/>
      <c r="AJ1" s="42" t="s">
        <v>88</v>
      </c>
      <c r="AK1" s="44"/>
    </row>
    <row r="2" spans="1:40" s="50" customFormat="1" ht="66" x14ac:dyDescent="0.25">
      <c r="A2" s="25"/>
      <c r="B2" s="25"/>
      <c r="C2" s="25"/>
      <c r="D2" s="25"/>
      <c r="E2" s="25"/>
      <c r="F2" s="25"/>
      <c r="G2" s="25"/>
      <c r="H2" s="25"/>
      <c r="I2" s="26"/>
      <c r="J2" s="27"/>
      <c r="K2" s="28"/>
      <c r="L2" s="28"/>
      <c r="M2" s="49" t="s">
        <v>43</v>
      </c>
      <c r="N2" s="50" t="s">
        <v>44</v>
      </c>
      <c r="O2" s="51" t="s">
        <v>45</v>
      </c>
      <c r="P2" s="52" t="s">
        <v>62</v>
      </c>
      <c r="Q2" s="49" t="s">
        <v>64</v>
      </c>
      <c r="R2" s="50" t="s">
        <v>65</v>
      </c>
      <c r="S2" s="52" t="s">
        <v>66</v>
      </c>
      <c r="T2" s="49" t="s">
        <v>81</v>
      </c>
      <c r="U2" s="50" t="s">
        <v>72</v>
      </c>
      <c r="V2" s="50" t="s">
        <v>73</v>
      </c>
      <c r="W2" s="50" t="s">
        <v>74</v>
      </c>
      <c r="X2" s="50" t="s">
        <v>75</v>
      </c>
      <c r="Y2" s="50" t="s">
        <v>76</v>
      </c>
      <c r="Z2" s="50" t="s">
        <v>77</v>
      </c>
      <c r="AA2" s="50" t="s">
        <v>78</v>
      </c>
      <c r="AB2" s="50" t="s">
        <v>79</v>
      </c>
      <c r="AC2" s="52" t="s">
        <v>80</v>
      </c>
      <c r="AD2" s="49" t="s">
        <v>82</v>
      </c>
      <c r="AE2" s="50" t="s">
        <v>83</v>
      </c>
      <c r="AF2" s="52" t="s">
        <v>84</v>
      </c>
      <c r="AG2" s="49" t="s">
        <v>85</v>
      </c>
      <c r="AH2" s="50" t="s">
        <v>86</v>
      </c>
      <c r="AI2" s="52" t="s">
        <v>87</v>
      </c>
      <c r="AJ2" s="49" t="s">
        <v>89</v>
      </c>
      <c r="AK2" s="52" t="s">
        <v>90</v>
      </c>
      <c r="AL2" s="50" t="s">
        <v>91</v>
      </c>
      <c r="AM2" s="50" t="s">
        <v>92</v>
      </c>
      <c r="AN2" s="50" t="s">
        <v>94</v>
      </c>
    </row>
    <row r="3" spans="1:40" x14ac:dyDescent="0.25">
      <c r="K3">
        <v>2000</v>
      </c>
      <c r="L3">
        <v>1</v>
      </c>
      <c r="M3" s="13">
        <v>-4.3168028634777304E-2</v>
      </c>
      <c r="N3" s="14">
        <v>-6.7658920259081795E-2</v>
      </c>
      <c r="O3" s="14">
        <v>-1.2313294298077E-2</v>
      </c>
      <c r="P3" s="15">
        <f t="shared" ref="P3:P34" si="0">AVERAGE(M3:O3)</f>
        <v>-4.1046747730645365E-2</v>
      </c>
    </row>
    <row r="4" spans="1:40" x14ac:dyDescent="0.25">
      <c r="L4">
        <v>2</v>
      </c>
      <c r="M4" s="13">
        <v>2.9072947067279503E-2</v>
      </c>
      <c r="N4" s="14">
        <v>2.4925093485866899E-3</v>
      </c>
      <c r="O4" s="14">
        <v>-2.12183509338746E-3</v>
      </c>
      <c r="P4" s="15">
        <f t="shared" si="0"/>
        <v>9.8145404408262454E-3</v>
      </c>
    </row>
    <row r="5" spans="1:40" x14ac:dyDescent="0.25">
      <c r="L5">
        <v>3</v>
      </c>
      <c r="M5" s="13">
        <v>4.2951620213452696E-2</v>
      </c>
      <c r="N5" s="14">
        <v>2.1173421957078099E-2</v>
      </c>
      <c r="O5" s="14">
        <v>-6.6027266225244293E-3</v>
      </c>
      <c r="P5" s="15">
        <f t="shared" si="0"/>
        <v>1.9174105182668787E-2</v>
      </c>
    </row>
    <row r="6" spans="1:40" x14ac:dyDescent="0.25">
      <c r="L6">
        <v>4</v>
      </c>
      <c r="M6" s="13">
        <v>5.7996278125040102E-2</v>
      </c>
      <c r="N6" s="14">
        <v>3.6156500348343001E-2</v>
      </c>
      <c r="O6" s="14">
        <v>-1.06510446026083E-2</v>
      </c>
      <c r="P6" s="15">
        <f t="shared" si="0"/>
        <v>2.7833911290258268E-2</v>
      </c>
    </row>
    <row r="7" spans="1:40" x14ac:dyDescent="0.25">
      <c r="K7">
        <f>K3+1</f>
        <v>2001</v>
      </c>
      <c r="L7">
        <f>L3</f>
        <v>1</v>
      </c>
      <c r="M7" s="13">
        <v>-2.7634174033987602E-2</v>
      </c>
      <c r="N7" s="14">
        <v>-3.3199537561094103E-2</v>
      </c>
      <c r="O7" s="14">
        <v>-2.8077278913323501E-2</v>
      </c>
      <c r="P7" s="15">
        <f t="shared" si="0"/>
        <v>-2.9636996836135066E-2</v>
      </c>
    </row>
    <row r="8" spans="1:40" x14ac:dyDescent="0.25">
      <c r="L8">
        <f t="shared" ref="L8:L71" si="1">L4</f>
        <v>2</v>
      </c>
      <c r="M8" s="13">
        <v>-2.0458766885619699E-2</v>
      </c>
      <c r="N8" s="14">
        <v>-2.4023245639939697E-2</v>
      </c>
      <c r="O8" s="14">
        <v>-3.36910603837213E-2</v>
      </c>
      <c r="P8" s="15">
        <f t="shared" si="0"/>
        <v>-2.6057690969760228E-2</v>
      </c>
    </row>
    <row r="9" spans="1:40" x14ac:dyDescent="0.25">
      <c r="L9">
        <f t="shared" si="1"/>
        <v>3</v>
      </c>
      <c r="M9" s="13">
        <v>1.0603195961209599E-2</v>
      </c>
      <c r="N9" s="14">
        <v>2.6594862402889402E-3</v>
      </c>
      <c r="O9" s="14">
        <v>-3.3201674392550798E-2</v>
      </c>
      <c r="P9" s="15">
        <f t="shared" si="0"/>
        <v>-6.6463307303507536E-3</v>
      </c>
    </row>
    <row r="10" spans="1:40" x14ac:dyDescent="0.25">
      <c r="L10">
        <f t="shared" si="1"/>
        <v>4</v>
      </c>
      <c r="M10" s="13">
        <v>1.4475606481364501E-2</v>
      </c>
      <c r="N10" s="14">
        <v>7.1222846693631799E-3</v>
      </c>
      <c r="O10" s="14">
        <v>-3.9135386356909399E-2</v>
      </c>
      <c r="P10" s="15">
        <f t="shared" si="0"/>
        <v>-5.8458317353939056E-3</v>
      </c>
    </row>
    <row r="11" spans="1:40" x14ac:dyDescent="0.25">
      <c r="K11">
        <f t="shared" ref="K11" si="2">K7+1</f>
        <v>2002</v>
      </c>
      <c r="L11">
        <f t="shared" si="1"/>
        <v>1</v>
      </c>
      <c r="M11" s="13">
        <v>6.4479724458124096E-2</v>
      </c>
      <c r="N11" s="14">
        <v>5.4440010212193302E-2</v>
      </c>
      <c r="O11" s="14">
        <v>-2.0797447431684601E-3</v>
      </c>
      <c r="P11" s="15">
        <f t="shared" si="0"/>
        <v>3.8946663309049646E-2</v>
      </c>
    </row>
    <row r="12" spans="1:40" x14ac:dyDescent="0.25">
      <c r="L12">
        <f t="shared" si="1"/>
        <v>2</v>
      </c>
      <c r="M12" s="13">
        <v>-3.6089433708204902E-2</v>
      </c>
      <c r="N12" s="14">
        <v>-2.38607625392806E-2</v>
      </c>
      <c r="O12" s="14">
        <v>-3.3474184350356803E-2</v>
      </c>
      <c r="P12" s="15">
        <f t="shared" si="0"/>
        <v>-3.1141460199280768E-2</v>
      </c>
    </row>
    <row r="13" spans="1:40" x14ac:dyDescent="0.25">
      <c r="L13">
        <f t="shared" si="1"/>
        <v>3</v>
      </c>
      <c r="M13" s="13">
        <v>-5.6408329213140797E-2</v>
      </c>
      <c r="N13" s="14">
        <v>-3.42297161889221E-2</v>
      </c>
      <c r="O13" s="14">
        <v>-4.3963355172518502E-2</v>
      </c>
      <c r="P13" s="15">
        <f t="shared" si="0"/>
        <v>-4.4867133524860464E-2</v>
      </c>
    </row>
    <row r="14" spans="1:40" x14ac:dyDescent="0.25">
      <c r="L14">
        <f t="shared" si="1"/>
        <v>4</v>
      </c>
      <c r="M14" s="13">
        <v>-2.8394728694834101E-2</v>
      </c>
      <c r="N14" s="14">
        <v>-4.3128639288061302E-3</v>
      </c>
      <c r="O14" s="14">
        <v>-4.1916400507981504E-2</v>
      </c>
      <c r="P14" s="15">
        <f t="shared" si="0"/>
        <v>-2.4874664377207246E-2</v>
      </c>
    </row>
    <row r="15" spans="1:40" x14ac:dyDescent="0.25">
      <c r="K15">
        <f t="shared" ref="K15" si="3">K11+1</f>
        <v>2003</v>
      </c>
      <c r="L15">
        <f t="shared" si="1"/>
        <v>1</v>
      </c>
      <c r="M15" s="13">
        <v>-9.6907575323621105E-3</v>
      </c>
      <c r="N15" s="14">
        <v>1.0961346561582E-2</v>
      </c>
      <c r="O15" s="14">
        <v>7.3038073277510891E-3</v>
      </c>
      <c r="P15" s="15">
        <f t="shared" si="0"/>
        <v>2.858132118990326E-3</v>
      </c>
    </row>
    <row r="16" spans="1:40" x14ac:dyDescent="0.25">
      <c r="L16">
        <f t="shared" si="1"/>
        <v>2</v>
      </c>
      <c r="M16" s="13">
        <v>-1.1437365491506099E-2</v>
      </c>
      <c r="N16" s="14">
        <v>6.5815535253920098E-3</v>
      </c>
      <c r="O16" s="14">
        <v>3.76691103031192E-3</v>
      </c>
      <c r="P16" s="15">
        <f t="shared" si="0"/>
        <v>-3.6296697860072318E-4</v>
      </c>
    </row>
    <row r="17" spans="11:40" x14ac:dyDescent="0.25">
      <c r="L17">
        <f t="shared" si="1"/>
        <v>3</v>
      </c>
      <c r="M17" s="13">
        <v>-1.27937889104555E-2</v>
      </c>
      <c r="N17" s="14">
        <v>8.2667089892452005E-4</v>
      </c>
      <c r="O17" s="14">
        <v>1.5610260652612902E-3</v>
      </c>
      <c r="P17" s="15">
        <f t="shared" si="0"/>
        <v>-3.4686973154232303E-3</v>
      </c>
    </row>
    <row r="18" spans="11:40" x14ac:dyDescent="0.25">
      <c r="L18">
        <f t="shared" si="1"/>
        <v>4</v>
      </c>
      <c r="M18" s="13">
        <v>-4.2508515635661298E-2</v>
      </c>
      <c r="N18" s="14">
        <v>-3.0524742116368603E-2</v>
      </c>
      <c r="O18" s="14">
        <v>-6.4745153386772504E-3</v>
      </c>
      <c r="P18" s="15">
        <f t="shared" si="0"/>
        <v>-2.6502591030235719E-2</v>
      </c>
    </row>
    <row r="19" spans="11:40" x14ac:dyDescent="0.25">
      <c r="K19">
        <f t="shared" ref="K19" si="4">K15+1</f>
        <v>2004</v>
      </c>
      <c r="L19">
        <f t="shared" si="1"/>
        <v>1</v>
      </c>
      <c r="M19" s="13">
        <v>1.7199243195932402E-3</v>
      </c>
      <c r="N19" s="14">
        <v>2.5495201728230198E-3</v>
      </c>
      <c r="O19" s="14">
        <v>7.6257884430889392E-2</v>
      </c>
      <c r="P19" s="15">
        <f t="shared" si="0"/>
        <v>2.6842442974435218E-2</v>
      </c>
    </row>
    <row r="20" spans="11:40" x14ac:dyDescent="0.25">
      <c r="L20">
        <f t="shared" si="1"/>
        <v>2</v>
      </c>
      <c r="M20" s="13">
        <v>4.1994123798472102E-2</v>
      </c>
      <c r="N20" s="14">
        <v>3.5528197321222803E-2</v>
      </c>
      <c r="O20" s="14">
        <v>9.0349095031515295E-2</v>
      </c>
      <c r="P20" s="15">
        <f t="shared" si="0"/>
        <v>5.5957138717070067E-2</v>
      </c>
    </row>
    <row r="21" spans="11:40" x14ac:dyDescent="0.25">
      <c r="L21">
        <f t="shared" si="1"/>
        <v>3</v>
      </c>
      <c r="M21" s="13">
        <v>1.44054633409905E-2</v>
      </c>
      <c r="N21" s="14">
        <v>1.15379142055332E-2</v>
      </c>
      <c r="O21" s="14">
        <v>8.7626486706122206E-2</v>
      </c>
      <c r="P21" s="15">
        <f t="shared" si="0"/>
        <v>3.7856621417548635E-2</v>
      </c>
    </row>
    <row r="22" spans="11:40" x14ac:dyDescent="0.25">
      <c r="L22">
        <f t="shared" si="1"/>
        <v>4</v>
      </c>
      <c r="M22" s="13">
        <v>-2.9244023377705101E-2</v>
      </c>
      <c r="N22" s="14">
        <v>-2.4393560699930199E-2</v>
      </c>
      <c r="O22" s="14">
        <v>8.24946906718802E-2</v>
      </c>
      <c r="P22" s="15">
        <f t="shared" si="0"/>
        <v>9.6190355314149656E-3</v>
      </c>
    </row>
    <row r="23" spans="11:40" x14ac:dyDescent="0.25">
      <c r="K23">
        <f t="shared" ref="K23" si="5">K19+1</f>
        <v>2005</v>
      </c>
      <c r="L23">
        <f t="shared" si="1"/>
        <v>1</v>
      </c>
      <c r="M23" s="13">
        <v>-2.49283100445063E-2</v>
      </c>
      <c r="N23" s="14">
        <v>-1.8272114067636E-2</v>
      </c>
      <c r="O23" s="14">
        <v>6.1575847063520699E-2</v>
      </c>
      <c r="P23" s="15">
        <f t="shared" si="0"/>
        <v>6.125140983792801E-3</v>
      </c>
    </row>
    <row r="24" spans="11:40" x14ac:dyDescent="0.25">
      <c r="L24">
        <f t="shared" si="1"/>
        <v>2</v>
      </c>
      <c r="M24" s="13">
        <v>6.8601552513427996E-3</v>
      </c>
      <c r="N24" s="14">
        <v>9.0913532130148106E-3</v>
      </c>
      <c r="O24" s="14">
        <v>7.1004160952050296E-2</v>
      </c>
      <c r="P24" s="15">
        <f t="shared" si="0"/>
        <v>2.8985223138802637E-2</v>
      </c>
    </row>
    <row r="25" spans="11:40" x14ac:dyDescent="0.25">
      <c r="L25">
        <f t="shared" si="1"/>
        <v>3</v>
      </c>
      <c r="M25" s="13">
        <v>1.2334019194431601E-2</v>
      </c>
      <c r="N25" s="14">
        <v>1.1962729300815201E-2</v>
      </c>
      <c r="O25" s="14">
        <v>9.0966082338202095E-2</v>
      </c>
      <c r="P25" s="15">
        <f t="shared" si="0"/>
        <v>3.8420943611149637E-2</v>
      </c>
    </row>
    <row r="26" spans="11:40" x14ac:dyDescent="0.25">
      <c r="L26">
        <f t="shared" si="1"/>
        <v>4</v>
      </c>
      <c r="M26" s="13">
        <v>3.4340782010894998E-3</v>
      </c>
      <c r="N26" s="14">
        <v>5.0049207168759106E-3</v>
      </c>
      <c r="O26" s="14">
        <v>1.94383562646387E-2</v>
      </c>
      <c r="P26" s="15">
        <f t="shared" si="0"/>
        <v>9.2924517275347045E-3</v>
      </c>
    </row>
    <row r="27" spans="11:40" x14ac:dyDescent="0.25">
      <c r="K27">
        <f t="shared" ref="K27" si="6">K23+1</f>
        <v>2006</v>
      </c>
      <c r="L27">
        <f t="shared" si="1"/>
        <v>1</v>
      </c>
      <c r="M27" s="13">
        <v>1.27650685055641E-3</v>
      </c>
      <c r="N27" s="14">
        <v>4.0587942959932795E-3</v>
      </c>
      <c r="O27" s="14">
        <v>1.14111835023064E-2</v>
      </c>
      <c r="P27" s="15">
        <f t="shared" si="0"/>
        <v>5.5821615496186965E-3</v>
      </c>
    </row>
    <row r="28" spans="11:40" x14ac:dyDescent="0.25">
      <c r="L28">
        <f t="shared" si="1"/>
        <v>2</v>
      </c>
      <c r="M28" s="13">
        <v>-3.69061984143286E-2</v>
      </c>
      <c r="N28" s="14">
        <v>-3.1466262772968899E-2</v>
      </c>
      <c r="O28" s="14">
        <v>-4.0912203758595701E-2</v>
      </c>
      <c r="P28" s="15">
        <f t="shared" si="0"/>
        <v>-3.6428221648631069E-2</v>
      </c>
    </row>
    <row r="29" spans="11:40" x14ac:dyDescent="0.25">
      <c r="L29">
        <f t="shared" si="1"/>
        <v>3</v>
      </c>
      <c r="M29" s="13">
        <v>-1.41670428377005E-2</v>
      </c>
      <c r="N29" s="14">
        <v>-1.49259302804414E-2</v>
      </c>
      <c r="O29" s="14">
        <v>-3.0250430861807499E-2</v>
      </c>
      <c r="P29" s="15">
        <f t="shared" si="0"/>
        <v>-1.9781134659983133E-2</v>
      </c>
    </row>
    <row r="30" spans="11:40" x14ac:dyDescent="0.25">
      <c r="L30">
        <f t="shared" si="1"/>
        <v>4</v>
      </c>
      <c r="M30" s="13">
        <v>6.4831423573707497E-2</v>
      </c>
      <c r="N30" s="14">
        <v>4.6912234219396901E-2</v>
      </c>
      <c r="O30" s="14">
        <v>4.0370147373071499E-2</v>
      </c>
      <c r="P30" s="15">
        <f t="shared" si="0"/>
        <v>5.070460172205863E-2</v>
      </c>
      <c r="AN30" s="24">
        <v>4.8337300000000027E-2</v>
      </c>
    </row>
    <row r="31" spans="11:40" x14ac:dyDescent="0.25">
      <c r="K31">
        <f t="shared" ref="K31" si="7">K27+1</f>
        <v>2007</v>
      </c>
      <c r="L31">
        <f t="shared" si="1"/>
        <v>1</v>
      </c>
      <c r="M31" s="13">
        <v>-5.26287434517826E-3</v>
      </c>
      <c r="N31" s="14">
        <v>-2.0545342640239998E-2</v>
      </c>
      <c r="O31" s="14">
        <v>-4.4323789076764396E-2</v>
      </c>
      <c r="P31" s="15">
        <f t="shared" si="0"/>
        <v>-2.337733535406088E-2</v>
      </c>
      <c r="AN31" s="24">
        <v>5.3027672123917791E-2</v>
      </c>
    </row>
    <row r="32" spans="11:40" x14ac:dyDescent="0.25">
      <c r="L32">
        <f t="shared" si="1"/>
        <v>2</v>
      </c>
      <c r="M32" s="13">
        <v>2.46601339156154E-2</v>
      </c>
      <c r="N32" s="14">
        <v>-2.7175519760590898E-3</v>
      </c>
      <c r="O32" s="14">
        <v>-2.5322095432357101E-2</v>
      </c>
      <c r="P32" s="15">
        <f t="shared" si="0"/>
        <v>-1.1265044976002635E-3</v>
      </c>
      <c r="AN32" s="24">
        <v>5.4991389351513487E-2</v>
      </c>
    </row>
    <row r="33" spans="11:40" x14ac:dyDescent="0.25">
      <c r="L33">
        <f t="shared" si="1"/>
        <v>3</v>
      </c>
      <c r="M33" s="13">
        <v>2.4194820298550801E-2</v>
      </c>
      <c r="N33" s="14">
        <v>-7.1226168272236403E-3</v>
      </c>
      <c r="O33" s="14">
        <v>-2.7685687379059697E-2</v>
      </c>
      <c r="P33" s="15">
        <f t="shared" si="0"/>
        <v>-3.5378279692441796E-3</v>
      </c>
      <c r="AN33" s="24">
        <v>0.12125511944124412</v>
      </c>
    </row>
    <row r="34" spans="11:40" x14ac:dyDescent="0.25">
      <c r="L34">
        <f t="shared" si="1"/>
        <v>4</v>
      </c>
      <c r="M34" s="13">
        <v>5.3226091553715299E-2</v>
      </c>
      <c r="N34" s="14">
        <v>1.2856903915974599E-2</v>
      </c>
      <c r="O34" s="14">
        <v>3.38834698443725E-3</v>
      </c>
      <c r="P34" s="15">
        <f t="shared" si="0"/>
        <v>2.315711415137572E-2</v>
      </c>
      <c r="AN34" s="24">
        <v>0.14018942185878558</v>
      </c>
    </row>
    <row r="35" spans="11:40" x14ac:dyDescent="0.25">
      <c r="K35">
        <f t="shared" ref="K35" si="8">K31+1</f>
        <v>2008</v>
      </c>
      <c r="L35">
        <f t="shared" si="1"/>
        <v>1</v>
      </c>
      <c r="M35" s="13">
        <v>5.7124818350539501E-2</v>
      </c>
      <c r="N35" s="14">
        <v>1.38458525561421E-2</v>
      </c>
      <c r="O35" s="14">
        <v>8.6980919208508797E-3</v>
      </c>
      <c r="P35" s="15">
        <f t="shared" ref="P35:P66" si="9">AVERAGE(M35:O35)</f>
        <v>2.6556254275844165E-2</v>
      </c>
      <c r="AN35" s="24">
        <v>0.205843966338078</v>
      </c>
    </row>
    <row r="36" spans="11:40" x14ac:dyDescent="0.25">
      <c r="L36">
        <f t="shared" si="1"/>
        <v>2</v>
      </c>
      <c r="M36" s="13">
        <v>3.3918930822237597E-2</v>
      </c>
      <c r="N36" s="14">
        <v>-3.1683368516282899E-3</v>
      </c>
      <c r="O36" s="14">
        <v>-1.7663387064041202E-2</v>
      </c>
      <c r="P36" s="15">
        <f t="shared" si="9"/>
        <v>4.3624023021893686E-3</v>
      </c>
      <c r="AN36" s="24">
        <v>0.32472308466783417</v>
      </c>
    </row>
    <row r="37" spans="11:40" x14ac:dyDescent="0.25">
      <c r="L37">
        <f t="shared" si="1"/>
        <v>3</v>
      </c>
      <c r="M37" s="13">
        <v>4.0803407477953899E-2</v>
      </c>
      <c r="N37" s="14">
        <v>1.4891901083455299E-2</v>
      </c>
      <c r="O37" s="14">
        <v>-1.5100535500533E-2</v>
      </c>
      <c r="P37" s="15">
        <f t="shared" si="9"/>
        <v>1.3531591020292064E-2</v>
      </c>
      <c r="AN37" s="24">
        <v>0.31694829800086399</v>
      </c>
    </row>
    <row r="38" spans="11:40" x14ac:dyDescent="0.25">
      <c r="L38">
        <f t="shared" si="1"/>
        <v>4</v>
      </c>
      <c r="M38" s="13">
        <v>3.2274925533595199E-2</v>
      </c>
      <c r="N38" s="14">
        <v>2.4542039963391101E-2</v>
      </c>
      <c r="O38" s="14">
        <v>-2.59653298201186E-2</v>
      </c>
      <c r="P38" s="15">
        <f t="shared" si="9"/>
        <v>1.0283878558955899E-2</v>
      </c>
      <c r="AN38" s="24">
        <v>0.2321340921813051</v>
      </c>
    </row>
    <row r="39" spans="11:40" x14ac:dyDescent="0.25">
      <c r="K39">
        <f t="shared" ref="K39" si="10">K35+1</f>
        <v>2009</v>
      </c>
      <c r="L39">
        <f t="shared" si="1"/>
        <v>1</v>
      </c>
      <c r="M39" s="13">
        <v>-4.5226762021518402E-2</v>
      </c>
      <c r="N39" s="14">
        <v>-2.38158213713387E-2</v>
      </c>
      <c r="O39" s="14">
        <v>-6.9014563480672808E-2</v>
      </c>
      <c r="P39" s="15">
        <f t="shared" si="9"/>
        <v>-4.6019048957843305E-2</v>
      </c>
      <c r="AN39" s="24">
        <v>0.17266186732863109</v>
      </c>
    </row>
    <row r="40" spans="11:40" x14ac:dyDescent="0.25">
      <c r="L40">
        <f t="shared" si="1"/>
        <v>2</v>
      </c>
      <c r="M40" s="13">
        <v>-4.9827066069049096E-2</v>
      </c>
      <c r="N40" s="14">
        <v>-1.3507122218754199E-2</v>
      </c>
      <c r="O40" s="14">
        <v>-5.6141913317721601E-2</v>
      </c>
      <c r="P40" s="15">
        <f t="shared" si="9"/>
        <v>-3.9825367201841634E-2</v>
      </c>
      <c r="AN40" s="24">
        <v>4.6642508375806857E-2</v>
      </c>
    </row>
    <row r="41" spans="11:40" x14ac:dyDescent="0.25">
      <c r="L41">
        <f t="shared" si="1"/>
        <v>3</v>
      </c>
      <c r="M41" s="13">
        <v>-7.5589719912147704E-2</v>
      </c>
      <c r="N41" s="14">
        <v>-2.3485443760302597E-2</v>
      </c>
      <c r="O41" s="14">
        <v>-6.8728021132763994E-2</v>
      </c>
      <c r="P41" s="15">
        <f t="shared" si="9"/>
        <v>-5.5934394935071428E-2</v>
      </c>
      <c r="AN41" s="24">
        <v>-1.9179752634941982E-2</v>
      </c>
    </row>
    <row r="42" spans="11:40" x14ac:dyDescent="0.25">
      <c r="L42">
        <f t="shared" si="1"/>
        <v>4</v>
      </c>
      <c r="M42" s="13">
        <v>-2.4872903177076702E-2</v>
      </c>
      <c r="N42" s="14">
        <v>2.5763142185626E-2</v>
      </c>
      <c r="O42" s="14">
        <v>-1.6246255681793598E-2</v>
      </c>
      <c r="P42" s="15">
        <f t="shared" si="9"/>
        <v>-5.1186722244147666E-3</v>
      </c>
      <c r="AN42" s="24">
        <v>1.878077398805722E-2</v>
      </c>
    </row>
    <row r="43" spans="11:40" x14ac:dyDescent="0.25">
      <c r="K43">
        <f t="shared" ref="K43" si="11">K39+1</f>
        <v>2010</v>
      </c>
      <c r="L43">
        <f t="shared" si="1"/>
        <v>1</v>
      </c>
      <c r="M43" s="13">
        <v>-6.4320749804423899E-2</v>
      </c>
      <c r="N43" s="14">
        <v>-4.8878677768212902E-3</v>
      </c>
      <c r="O43" s="14">
        <v>-4.3020939882039005E-2</v>
      </c>
      <c r="P43" s="15">
        <f t="shared" si="9"/>
        <v>-3.7409852487761401E-2</v>
      </c>
      <c r="AN43" s="24">
        <v>7.7695868257461553E-2</v>
      </c>
    </row>
    <row r="44" spans="11:40" x14ac:dyDescent="0.25">
      <c r="L44">
        <f t="shared" si="1"/>
        <v>2</v>
      </c>
      <c r="M44" s="13">
        <v>-7.2795034964235505E-2</v>
      </c>
      <c r="N44" s="14">
        <v>-1.2034856074240801E-2</v>
      </c>
      <c r="O44" s="14">
        <v>-4.1966903100156001E-2</v>
      </c>
      <c r="P44" s="15">
        <f t="shared" si="9"/>
        <v>-4.2265598046210773E-2</v>
      </c>
      <c r="AN44" s="24">
        <v>0.12596783872929151</v>
      </c>
    </row>
    <row r="45" spans="11:40" x14ac:dyDescent="0.25">
      <c r="L45">
        <f t="shared" si="1"/>
        <v>3</v>
      </c>
      <c r="M45" s="13">
        <v>-6.3307443255343904E-2</v>
      </c>
      <c r="N45" s="14">
        <v>-9.213318351019701E-3</v>
      </c>
      <c r="O45" s="14">
        <v>-2.6134036239640102E-2</v>
      </c>
      <c r="P45" s="15">
        <f t="shared" si="9"/>
        <v>-3.2884932615334567E-2</v>
      </c>
      <c r="AN45" s="24">
        <v>0.1093194629500196</v>
      </c>
    </row>
    <row r="46" spans="11:40" x14ac:dyDescent="0.25">
      <c r="L46">
        <f t="shared" si="1"/>
        <v>4</v>
      </c>
      <c r="M46" s="13">
        <v>-8.0970718837891087E-2</v>
      </c>
      <c r="N46" s="14">
        <v>-3.5802904636597604E-2</v>
      </c>
      <c r="O46" s="14">
        <v>-4.0603433097604495E-2</v>
      </c>
      <c r="P46" s="15">
        <f t="shared" si="9"/>
        <v>-5.2459018857364398E-2</v>
      </c>
      <c r="AN46" s="24">
        <v>0.1429215875635057</v>
      </c>
    </row>
    <row r="47" spans="11:40" x14ac:dyDescent="0.25">
      <c r="K47">
        <f t="shared" ref="K47" si="12">K43+1</f>
        <v>2011</v>
      </c>
      <c r="L47">
        <f t="shared" si="1"/>
        <v>1</v>
      </c>
      <c r="M47" s="13">
        <v>3.22221613442252E-3</v>
      </c>
      <c r="N47" s="14">
        <v>2.2313980630228998E-2</v>
      </c>
      <c r="O47" s="14">
        <v>3.3665845457260597E-2</v>
      </c>
      <c r="P47" s="15">
        <f t="shared" si="9"/>
        <v>1.9734014073970706E-2</v>
      </c>
      <c r="AN47" s="24">
        <v>6.1294684046263814E-2</v>
      </c>
    </row>
    <row r="48" spans="11:40" x14ac:dyDescent="0.25">
      <c r="L48">
        <f t="shared" si="1"/>
        <v>2</v>
      </c>
      <c r="M48" s="13">
        <v>1.7616253469200201E-2</v>
      </c>
      <c r="N48" s="14">
        <v>2.4946280887485298E-2</v>
      </c>
      <c r="O48" s="14">
        <v>3.7277356236446596E-2</v>
      </c>
      <c r="P48" s="15">
        <f t="shared" si="9"/>
        <v>2.6613296864377366E-2</v>
      </c>
      <c r="AN48" s="24">
        <v>2.6515131118558743E-2</v>
      </c>
    </row>
    <row r="49" spans="11:40" x14ac:dyDescent="0.25">
      <c r="L49">
        <f t="shared" si="1"/>
        <v>3</v>
      </c>
      <c r="M49" s="13">
        <v>2.5308572189410298E-2</v>
      </c>
      <c r="N49" s="14">
        <v>1.91961610127966E-2</v>
      </c>
      <c r="O49" s="14">
        <v>3.3751991911816E-2</v>
      </c>
      <c r="P49" s="15">
        <f t="shared" si="9"/>
        <v>2.6085575038007635E-2</v>
      </c>
      <c r="AN49" s="24">
        <v>0.10325995195196058</v>
      </c>
    </row>
    <row r="50" spans="11:40" x14ac:dyDescent="0.25">
      <c r="L50">
        <f t="shared" si="1"/>
        <v>4</v>
      </c>
      <c r="M50" s="13">
        <v>-6.2199266028746897E-2</v>
      </c>
      <c r="N50" s="14">
        <v>-6.00853682960278E-2</v>
      </c>
      <c r="O50" s="14">
        <v>-4.8917149120934804E-2</v>
      </c>
      <c r="P50" s="15">
        <f t="shared" si="9"/>
        <v>-5.7067261148569831E-2</v>
      </c>
      <c r="AN50" s="24">
        <v>9.3946666621950392E-2</v>
      </c>
    </row>
    <row r="51" spans="11:40" x14ac:dyDescent="0.25">
      <c r="K51">
        <f t="shared" ref="K51" si="13">K47+1</f>
        <v>2012</v>
      </c>
      <c r="L51">
        <f t="shared" si="1"/>
        <v>1</v>
      </c>
      <c r="M51" s="13">
        <v>6.0152366707075001E-2</v>
      </c>
      <c r="N51" s="14">
        <v>4.4723629140665307E-2</v>
      </c>
      <c r="O51" s="14">
        <v>5.6594905615056097E-2</v>
      </c>
      <c r="P51" s="15">
        <f t="shared" si="9"/>
        <v>5.3823633820932137E-2</v>
      </c>
      <c r="AN51" s="24">
        <v>0.17301276218125916</v>
      </c>
    </row>
    <row r="52" spans="11:40" x14ac:dyDescent="0.25">
      <c r="L52">
        <f t="shared" si="1"/>
        <v>2</v>
      </c>
      <c r="M52" s="13">
        <v>2.75737244235278E-2</v>
      </c>
      <c r="N52" s="14">
        <v>1.62460423122666E-2</v>
      </c>
      <c r="O52" s="14">
        <v>9.3742394949144301E-3</v>
      </c>
      <c r="P52" s="15">
        <f t="shared" si="9"/>
        <v>1.7731335410236276E-2</v>
      </c>
      <c r="AN52" s="24">
        <v>0.15123979589076164</v>
      </c>
    </row>
    <row r="53" spans="11:40" x14ac:dyDescent="0.25">
      <c r="L53">
        <f t="shared" si="1"/>
        <v>3</v>
      </c>
      <c r="M53" s="13">
        <v>-2.4405007901063903E-2</v>
      </c>
      <c r="N53" s="14">
        <v>-3.3650591215664404E-2</v>
      </c>
      <c r="O53" s="14">
        <v>-4.7540957659997905E-2</v>
      </c>
      <c r="P53" s="15">
        <f t="shared" si="9"/>
        <v>-3.5198852258908737E-2</v>
      </c>
      <c r="AN53" s="24">
        <v>0.15069051111467457</v>
      </c>
    </row>
    <row r="54" spans="11:40" x14ac:dyDescent="0.25">
      <c r="L54">
        <f t="shared" si="1"/>
        <v>4</v>
      </c>
      <c r="M54" s="13">
        <v>1.3423534560001799E-2</v>
      </c>
      <c r="N54" s="14">
        <v>-3.6247261769416202E-3</v>
      </c>
      <c r="O54" s="14">
        <v>-8.7190859060708309E-3</v>
      </c>
      <c r="P54" s="15">
        <f t="shared" si="9"/>
        <v>3.5990749232978303E-4</v>
      </c>
      <c r="AN54" s="24">
        <v>0.14215843377881843</v>
      </c>
    </row>
    <row r="55" spans="11:40" x14ac:dyDescent="0.25">
      <c r="K55">
        <f t="shared" ref="K55" si="14">K51+1</f>
        <v>2013</v>
      </c>
      <c r="L55">
        <f t="shared" si="1"/>
        <v>1</v>
      </c>
      <c r="M55" s="13">
        <v>3.4160784062064499E-2</v>
      </c>
      <c r="N55" s="14">
        <v>9.4829130898515801E-3</v>
      </c>
      <c r="O55" s="14">
        <v>1.0271235241327802E-2</v>
      </c>
      <c r="P55" s="15">
        <f t="shared" si="9"/>
        <v>1.7971644131081294E-2</v>
      </c>
      <c r="AN55" s="24">
        <v>8.3245503454015379E-2</v>
      </c>
    </row>
    <row r="56" spans="11:40" x14ac:dyDescent="0.25">
      <c r="L56">
        <f t="shared" si="1"/>
        <v>2</v>
      </c>
      <c r="M56" s="13">
        <v>3.2629643486604902E-2</v>
      </c>
      <c r="N56" s="14">
        <v>2.2240700194037801E-3</v>
      </c>
      <c r="O56" s="14">
        <v>3.8139867277473898E-3</v>
      </c>
      <c r="P56" s="15">
        <f t="shared" si="9"/>
        <v>1.2889233411252024E-2</v>
      </c>
      <c r="AN56" s="24">
        <v>6.5111649418339912E-2</v>
      </c>
    </row>
    <row r="57" spans="11:40" x14ac:dyDescent="0.25">
      <c r="L57">
        <f t="shared" si="1"/>
        <v>3</v>
      </c>
      <c r="M57" s="13">
        <v>5.5505540529629797E-2</v>
      </c>
      <c r="N57" s="14">
        <v>1.8163361769038499E-2</v>
      </c>
      <c r="O57" s="14">
        <v>2.12891809068693E-2</v>
      </c>
      <c r="P57" s="15">
        <f t="shared" si="9"/>
        <v>3.1652694401845864E-2</v>
      </c>
      <c r="AN57" s="24">
        <v>6.9440884255811408E-2</v>
      </c>
    </row>
    <row r="58" spans="11:40" x14ac:dyDescent="0.25">
      <c r="L58">
        <f t="shared" si="1"/>
        <v>4</v>
      </c>
      <c r="M58" s="13">
        <v>2.7322691409956402E-2</v>
      </c>
      <c r="N58" s="14">
        <v>-8.090340002845961E-3</v>
      </c>
      <c r="O58" s="14">
        <v>-1.50506858278319E-2</v>
      </c>
      <c r="P58" s="15">
        <f t="shared" si="9"/>
        <v>1.3938885264261805E-3</v>
      </c>
      <c r="AN58" s="24">
        <v>0.11188717030465756</v>
      </c>
    </row>
    <row r="59" spans="11:40" x14ac:dyDescent="0.25">
      <c r="K59">
        <f t="shared" ref="K59" si="15">K55+1</f>
        <v>2014</v>
      </c>
      <c r="L59">
        <f t="shared" si="1"/>
        <v>1</v>
      </c>
      <c r="M59" s="13">
        <v>2.6160112443851601E-2</v>
      </c>
      <c r="N59" s="14">
        <v>-1.1196480285200301E-2</v>
      </c>
      <c r="O59" s="14">
        <v>-1.4691049956275E-2</v>
      </c>
      <c r="P59" s="15">
        <f t="shared" si="9"/>
        <v>9.0860734125433371E-5</v>
      </c>
      <c r="AN59" s="24">
        <v>0.11912762029161716</v>
      </c>
    </row>
    <row r="60" spans="11:40" x14ac:dyDescent="0.25">
      <c r="L60">
        <f t="shared" si="1"/>
        <v>2</v>
      </c>
      <c r="M60" s="13">
        <v>4.3607899882276799E-2</v>
      </c>
      <c r="N60" s="14">
        <v>6.5181166348708894E-3</v>
      </c>
      <c r="O60" s="14">
        <v>8.5814379628083096E-3</v>
      </c>
      <c r="P60" s="15">
        <f t="shared" si="9"/>
        <v>1.9569151493318667E-2</v>
      </c>
      <c r="AN60" s="24">
        <v>0.15072713063110421</v>
      </c>
    </row>
    <row r="61" spans="11:40" x14ac:dyDescent="0.25">
      <c r="L61">
        <f t="shared" si="1"/>
        <v>3</v>
      </c>
      <c r="M61" s="13">
        <v>7.49355946162268E-2</v>
      </c>
      <c r="N61" s="14">
        <v>3.73017181392871E-2</v>
      </c>
      <c r="O61" s="14">
        <v>4.3555637220245504E-2</v>
      </c>
      <c r="P61" s="15">
        <f t="shared" si="9"/>
        <v>5.1930983325253137E-2</v>
      </c>
      <c r="AN61" s="24">
        <v>0.13630058804745837</v>
      </c>
    </row>
    <row r="62" spans="11:40" x14ac:dyDescent="0.25">
      <c r="L62">
        <f t="shared" si="1"/>
        <v>4</v>
      </c>
      <c r="M62" s="13">
        <v>8.3776281679388293E-3</v>
      </c>
      <c r="N62" s="14">
        <v>-1.4451614109727499E-2</v>
      </c>
      <c r="O62" s="14">
        <v>-2.0459652192773698E-2</v>
      </c>
      <c r="P62" s="15">
        <f t="shared" si="9"/>
        <v>-8.8445460448541222E-3</v>
      </c>
      <c r="AN62" s="24">
        <v>0.10682574460234306</v>
      </c>
    </row>
    <row r="63" spans="11:40" x14ac:dyDescent="0.25">
      <c r="K63">
        <f t="shared" ref="K63" si="16">K59+1</f>
        <v>2015</v>
      </c>
      <c r="L63">
        <f t="shared" si="1"/>
        <v>1</v>
      </c>
      <c r="M63" s="13">
        <v>8.5077528761758005E-4</v>
      </c>
      <c r="N63" s="14">
        <v>-1.47897252574931E-2</v>
      </c>
      <c r="O63" s="14">
        <v>-1.24504299042435E-2</v>
      </c>
      <c r="P63" s="15">
        <f t="shared" si="9"/>
        <v>-8.7964599580396732E-3</v>
      </c>
      <c r="AL63" s="29">
        <v>4193640.8</v>
      </c>
      <c r="AN63" s="24">
        <v>8.8189615878457195E-2</v>
      </c>
    </row>
    <row r="64" spans="11:40" x14ac:dyDescent="0.25">
      <c r="L64">
        <f t="shared" si="1"/>
        <v>2</v>
      </c>
      <c r="M64" s="13">
        <v>5.8422203131863106E-3</v>
      </c>
      <c r="N64" s="14">
        <v>-5.3692406016174997E-4</v>
      </c>
      <c r="O64" s="14">
        <v>-1.35888663192718E-3</v>
      </c>
      <c r="P64" s="15">
        <f t="shared" si="9"/>
        <v>1.3154698736991268E-3</v>
      </c>
      <c r="AL64" s="29">
        <v>6296039.5999999996</v>
      </c>
      <c r="AN64" s="24">
        <v>7.146034678613411E-2</v>
      </c>
    </row>
    <row r="65" spans="11:40" x14ac:dyDescent="0.25">
      <c r="L65">
        <f t="shared" si="1"/>
        <v>3</v>
      </c>
      <c r="M65" s="13">
        <v>3.1462461644514404E-2</v>
      </c>
      <c r="N65" s="14">
        <v>2.9239069978653397E-2</v>
      </c>
      <c r="O65" s="14">
        <v>2.8611671434758301E-2</v>
      </c>
      <c r="P65" s="15">
        <f t="shared" si="9"/>
        <v>2.9771067685975369E-2</v>
      </c>
      <c r="AL65" s="29">
        <v>6303713.7999999998</v>
      </c>
      <c r="AN65" s="24">
        <v>3.9411788659872382E-2</v>
      </c>
    </row>
    <row r="66" spans="11:40" x14ac:dyDescent="0.25">
      <c r="L66">
        <f t="shared" si="1"/>
        <v>4</v>
      </c>
      <c r="M66" s="13">
        <v>-2.4799026795203599E-2</v>
      </c>
      <c r="N66" s="14">
        <v>-1.0694316319595601E-2</v>
      </c>
      <c r="O66" s="14">
        <v>-2.4274163225677298E-2</v>
      </c>
      <c r="P66" s="15">
        <f t="shared" si="9"/>
        <v>-1.9922502113492165E-2</v>
      </c>
      <c r="AL66" s="29">
        <v>6101386.7000000002</v>
      </c>
      <c r="AN66" s="24">
        <v>1.1292613566066256E-2</v>
      </c>
    </row>
    <row r="67" spans="11:40" x14ac:dyDescent="0.25">
      <c r="K67">
        <f t="shared" ref="K67" si="17">K63+1</f>
        <v>2016</v>
      </c>
      <c r="L67">
        <f t="shared" si="1"/>
        <v>1</v>
      </c>
      <c r="M67" s="13">
        <v>-2.76892447466025E-2</v>
      </c>
      <c r="N67" s="14">
        <v>-4.9180923906345904E-3</v>
      </c>
      <c r="O67" s="14">
        <v>-1.1614385763072499E-2</v>
      </c>
      <c r="P67" s="15">
        <f t="shared" ref="P67:P96" si="18">AVERAGE(M67:O67)</f>
        <v>-1.4740574300103197E-2</v>
      </c>
      <c r="AL67" s="29">
        <v>4302469.5999999996</v>
      </c>
      <c r="AM67" s="24">
        <f>SUM(AL67)/SUM(AL63)-1</f>
        <v>2.5950911198689086E-2</v>
      </c>
      <c r="AN67" s="24">
        <v>6.8193430924492482E-3</v>
      </c>
    </row>
    <row r="68" spans="11:40" x14ac:dyDescent="0.25">
      <c r="L68">
        <f t="shared" si="1"/>
        <v>2</v>
      </c>
      <c r="M68" s="13">
        <v>-3.7748421056414801E-2</v>
      </c>
      <c r="N68" s="14">
        <v>-8.1458448479081198E-3</v>
      </c>
      <c r="O68" s="14">
        <v>-2.0841760775785499E-2</v>
      </c>
      <c r="P68" s="15">
        <f t="shared" si="18"/>
        <v>-2.2245342226702807E-2</v>
      </c>
      <c r="AL68" s="29">
        <v>6353504.7000000002</v>
      </c>
      <c r="AM68" s="24">
        <f>SUM(AL67:AL68)/SUM(AL63:AL64)-1</f>
        <v>1.5853095009453533E-2</v>
      </c>
      <c r="AN68" s="24">
        <v>6.2706954424105454E-3</v>
      </c>
    </row>
    <row r="69" spans="11:40" x14ac:dyDescent="0.25">
      <c r="L69">
        <f t="shared" si="1"/>
        <v>3</v>
      </c>
      <c r="M69" s="13">
        <v>-5.1955685310560905E-2</v>
      </c>
      <c r="N69" s="14">
        <v>-1.9702900848260499E-2</v>
      </c>
      <c r="O69" s="14">
        <v>-3.2391782074692503E-2</v>
      </c>
      <c r="P69" s="15">
        <f t="shared" si="18"/>
        <v>-3.4683456077837967E-2</v>
      </c>
      <c r="AL69" s="29">
        <v>5990073.9000000004</v>
      </c>
      <c r="AM69" s="24">
        <f>SUM(AL67:AL69)/SUM(AL63:AL65)-1</f>
        <v>-8.7740452135637303E-3</v>
      </c>
      <c r="AN69" s="24">
        <v>4.8261320635889504E-4</v>
      </c>
    </row>
    <row r="70" spans="11:40" x14ac:dyDescent="0.25">
      <c r="L70">
        <f t="shared" si="1"/>
        <v>4</v>
      </c>
      <c r="M70" s="13">
        <v>-6.4579701882621502E-3</v>
      </c>
      <c r="N70" s="14">
        <v>1.7100072640844101E-2</v>
      </c>
      <c r="O70" s="14">
        <v>1.8164482684802502E-2</v>
      </c>
      <c r="P70" s="15">
        <f t="shared" si="18"/>
        <v>9.6021950457948185E-3</v>
      </c>
      <c r="AG70" s="9"/>
      <c r="AH70" s="4"/>
      <c r="AI70" s="23"/>
      <c r="AL70" s="29">
        <v>6589815.5999999996</v>
      </c>
      <c r="AM70" s="24">
        <f>SUM(AL67:AL70)/SUM(AL63:AL66)-1</f>
        <v>1.4897845124169917E-2</v>
      </c>
      <c r="AN70" s="24">
        <v>8.9705099887393835E-3</v>
      </c>
    </row>
    <row r="71" spans="11:40" x14ac:dyDescent="0.25">
      <c r="K71">
        <f t="shared" ref="K71" si="19">K67+1</f>
        <v>2017</v>
      </c>
      <c r="L71">
        <f t="shared" si="1"/>
        <v>1</v>
      </c>
      <c r="M71" s="13">
        <v>-1.7700592894218502E-2</v>
      </c>
      <c r="N71" s="14">
        <v>4.2254791383650901E-3</v>
      </c>
      <c r="O71" s="14">
        <v>8.2231937056312307E-3</v>
      </c>
      <c r="P71" s="15">
        <f t="shared" si="18"/>
        <v>-1.750640016740727E-3</v>
      </c>
      <c r="AG71" s="9">
        <v>6.0999999999999999E-2</v>
      </c>
      <c r="AH71" s="4"/>
      <c r="AI71" s="23"/>
      <c r="AL71" s="29">
        <v>4550537.5</v>
      </c>
      <c r="AM71" s="24">
        <f>SUM(AL71)/SUM(AL67)-1</f>
        <v>5.7657095357512844E-2</v>
      </c>
      <c r="AN71" s="24">
        <v>2.9900489882910053E-2</v>
      </c>
    </row>
    <row r="72" spans="11:40" x14ac:dyDescent="0.25">
      <c r="L72">
        <f t="shared" ref="L72:L106" si="20">L68</f>
        <v>2</v>
      </c>
      <c r="M72" s="13">
        <v>-2.1522202524192801E-2</v>
      </c>
      <c r="N72" s="14">
        <v>-3.2063307504631199E-3</v>
      </c>
      <c r="O72" s="14">
        <v>6.4106209071400199E-3</v>
      </c>
      <c r="P72" s="15">
        <f t="shared" si="18"/>
        <v>-6.1059707891719661E-3</v>
      </c>
      <c r="AG72" s="9">
        <v>2.7E-2</v>
      </c>
      <c r="AH72" s="4"/>
      <c r="AI72" s="23">
        <v>1.7000000000000001E-2</v>
      </c>
      <c r="AL72" s="29">
        <v>6731828.2999999998</v>
      </c>
      <c r="AM72" s="24">
        <f>SUM(AL71:AL72)/SUM(AL67:AL68)-1</f>
        <v>5.8783127883482278E-2</v>
      </c>
      <c r="AN72" s="24">
        <v>3.5341620592451051E-2</v>
      </c>
    </row>
    <row r="73" spans="11:40" x14ac:dyDescent="0.25">
      <c r="L73">
        <f t="shared" si="20"/>
        <v>3</v>
      </c>
      <c r="M73" s="13">
        <v>-1.9404385272744001E-2</v>
      </c>
      <c r="N73" s="14">
        <v>-4.90922045986874E-3</v>
      </c>
      <c r="O73" s="14">
        <v>1.1325146479907299E-2</v>
      </c>
      <c r="P73" s="15">
        <f t="shared" si="18"/>
        <v>-4.3294864175684802E-3</v>
      </c>
      <c r="AG73" s="9">
        <v>2.9000000000000001E-2</v>
      </c>
      <c r="AH73" s="4">
        <v>5.0505617977528089E-2</v>
      </c>
      <c r="AI73" s="23">
        <v>2.5000000000000001E-2</v>
      </c>
      <c r="AL73" s="29">
        <v>6388502.9000000004</v>
      </c>
      <c r="AM73" s="24">
        <f>SUM(AL71:AL73)/SUM(AL67:AL69)-1</f>
        <v>6.1565393040253324E-2</v>
      </c>
      <c r="AN73" s="24">
        <v>6.6495439388066124E-2</v>
      </c>
    </row>
    <row r="74" spans="11:40" x14ac:dyDescent="0.25">
      <c r="L74">
        <f t="shared" si="20"/>
        <v>4</v>
      </c>
      <c r="M74" s="13">
        <v>-1.4149462822738299E-2</v>
      </c>
      <c r="N74" s="14">
        <v>-5.7715949516781197E-3</v>
      </c>
      <c r="O74" s="14">
        <v>1.2867032485891201E-2</v>
      </c>
      <c r="P74" s="15">
        <f t="shared" si="18"/>
        <v>-2.3513417628417393E-3</v>
      </c>
      <c r="AG74" s="9">
        <v>4.1000000000000002E-2</v>
      </c>
      <c r="AH74" s="4">
        <v>5.5292479108635099E-2</v>
      </c>
      <c r="AI74" s="23">
        <v>4.9000000000000002E-2</v>
      </c>
      <c r="AJ74" s="33">
        <v>3.7136987470487797E-3</v>
      </c>
      <c r="AK74" s="34">
        <v>-8.1471903735509804E-2</v>
      </c>
      <c r="AL74" s="29">
        <v>6874772</v>
      </c>
      <c r="AM74" s="24">
        <f>SUM(AL71:AL74)/SUM(AL67:AL70)-1</f>
        <v>5.6368763015386625E-2</v>
      </c>
      <c r="AN74" s="24">
        <v>7.2251293729169053E-2</v>
      </c>
    </row>
    <row r="75" spans="11:40" x14ac:dyDescent="0.25">
      <c r="K75">
        <f t="shared" ref="K75" si="21">K71+1</f>
        <v>2018</v>
      </c>
      <c r="L75">
        <f t="shared" si="20"/>
        <v>1</v>
      </c>
      <c r="M75" s="13">
        <v>2.5702028066848398E-3</v>
      </c>
      <c r="N75" s="14">
        <v>1.1965809254492101E-3</v>
      </c>
      <c r="O75" s="14">
        <v>2.1391685929228701E-2</v>
      </c>
      <c r="P75" s="15">
        <f t="shared" si="18"/>
        <v>8.386156553787584E-3</v>
      </c>
      <c r="AG75" s="9">
        <v>5.0999999999999997E-2</v>
      </c>
      <c r="AH75" s="4">
        <v>6.0346820809248553E-2</v>
      </c>
      <c r="AI75" s="23">
        <v>7.0000000000000007E-2</v>
      </c>
      <c r="AJ75" s="33">
        <v>3.3934186257064338E-3</v>
      </c>
      <c r="AK75" s="34">
        <v>0</v>
      </c>
      <c r="AL75" s="29">
        <v>4836449.5999999996</v>
      </c>
      <c r="AM75" s="24">
        <f>SUM(AL75)/SUM(AL71)-1</f>
        <v>6.2830401903071875E-2</v>
      </c>
      <c r="AN75" s="24">
        <v>7.6915677251460757E-2</v>
      </c>
    </row>
    <row r="76" spans="11:40" x14ac:dyDescent="0.25">
      <c r="L76">
        <f t="shared" si="20"/>
        <v>2</v>
      </c>
      <c r="M76" s="13">
        <v>1.5921202028578101E-2</v>
      </c>
      <c r="N76" s="14">
        <v>3.3609484853326299E-3</v>
      </c>
      <c r="O76" s="14">
        <v>3.01527852820722E-2</v>
      </c>
      <c r="P76" s="15">
        <f t="shared" si="18"/>
        <v>1.6478311931994311E-2</v>
      </c>
      <c r="AG76" s="9">
        <v>5.3999999999999999E-2</v>
      </c>
      <c r="AH76" s="4">
        <v>6.2114882506527413E-2</v>
      </c>
      <c r="AI76" s="23">
        <v>6.0999999999999999E-2</v>
      </c>
      <c r="AJ76" s="33">
        <v>-8.1025507082027968E-3</v>
      </c>
      <c r="AK76" s="34">
        <v>9.6965717990582963E-3</v>
      </c>
      <c r="AL76" s="29">
        <v>7225676.2999999998</v>
      </c>
      <c r="AM76" s="24">
        <f>SUM(AL75:AL76)/SUM(AL71:AL72)-1</f>
        <v>6.9113173054537791E-2</v>
      </c>
      <c r="AN76" s="24">
        <v>7.9574164668084757E-2</v>
      </c>
    </row>
    <row r="77" spans="11:40" x14ac:dyDescent="0.25">
      <c r="L77">
        <f t="shared" si="20"/>
        <v>3</v>
      </c>
      <c r="M77" s="13">
        <v>1.8135315542078801E-2</v>
      </c>
      <c r="N77" s="14">
        <v>-4.73725793072195E-3</v>
      </c>
      <c r="O77" s="14">
        <v>2.4659077162122699E-2</v>
      </c>
      <c r="P77" s="15">
        <f t="shared" si="18"/>
        <v>1.2685711591159851E-2</v>
      </c>
      <c r="AG77" s="9">
        <v>4.9000000000000002E-2</v>
      </c>
      <c r="AH77" s="4">
        <v>5.1652892561983473E-2</v>
      </c>
      <c r="AI77" s="23">
        <v>6.5000000000000002E-2</v>
      </c>
      <c r="AJ77" s="33">
        <v>-0.15569418808836477</v>
      </c>
      <c r="AK77" s="34">
        <v>-0.10053525509884964</v>
      </c>
      <c r="AL77" s="29">
        <v>6841775.0999999996</v>
      </c>
      <c r="AM77" s="24">
        <f>SUM(AL75:AL77)/SUM(AL71:AL73)-1</f>
        <v>6.9777684444002341E-2</v>
      </c>
      <c r="AN77" s="24">
        <v>5.9247435025858719E-2</v>
      </c>
    </row>
    <row r="78" spans="11:40" x14ac:dyDescent="0.25">
      <c r="L78">
        <f t="shared" si="20"/>
        <v>4</v>
      </c>
      <c r="M78" s="13">
        <v>3.7350394779525599E-2</v>
      </c>
      <c r="N78" s="14">
        <v>2.9085722635567701E-3</v>
      </c>
      <c r="O78" s="14">
        <v>3.6681249883969001E-2</v>
      </c>
      <c r="P78" s="15">
        <f t="shared" si="18"/>
        <v>2.5646738975683789E-2</v>
      </c>
      <c r="AG78" s="9">
        <v>4.5999999999999999E-2</v>
      </c>
      <c r="AH78" s="4">
        <v>5.569148936170213E-2</v>
      </c>
      <c r="AI78" s="23">
        <v>0.08</v>
      </c>
      <c r="AJ78" s="33">
        <v>6.8044344492375716E-2</v>
      </c>
      <c r="AK78" s="34">
        <v>-0.14094907264744566</v>
      </c>
      <c r="AL78" s="29">
        <v>7542770.2999999998</v>
      </c>
      <c r="AM78" s="24">
        <f>SUM(AL75:AL78)/SUM(AL71:AL74)-1</f>
        <v>7.7448807437322076E-2</v>
      </c>
      <c r="AN78" s="24">
        <v>9.6657399469247007E-2</v>
      </c>
    </row>
    <row r="79" spans="11:40" x14ac:dyDescent="0.25">
      <c r="K79">
        <f t="shared" ref="K79" si="22">K75+1</f>
        <v>2019</v>
      </c>
      <c r="L79">
        <f t="shared" si="20"/>
        <v>1</v>
      </c>
      <c r="M79" s="13">
        <v>5.0407547359816299E-2</v>
      </c>
      <c r="N79" s="14">
        <v>9.3622952991689306E-3</v>
      </c>
      <c r="O79" s="14">
        <v>4.60405948755701E-2</v>
      </c>
      <c r="P79" s="15">
        <f t="shared" si="18"/>
        <v>3.5270145844851775E-2</v>
      </c>
      <c r="AG79" s="9">
        <v>0.06</v>
      </c>
      <c r="AH79" s="4">
        <v>6.2762430939226524E-2</v>
      </c>
      <c r="AI79" s="23">
        <v>7.5999999999999998E-2</v>
      </c>
      <c r="AJ79" s="33">
        <v>7.1628274675845432E-3</v>
      </c>
      <c r="AK79" s="34">
        <v>5.8422073670348264E-3</v>
      </c>
      <c r="AL79" s="29">
        <v>5252559.4000000004</v>
      </c>
      <c r="AM79" s="24">
        <f>SUM(AL79)/SUM(AL75)-1</f>
        <v>8.6036211356363745E-2</v>
      </c>
      <c r="AN79" s="24">
        <v>7.461023273325873E-2</v>
      </c>
    </row>
    <row r="80" spans="11:40" x14ac:dyDescent="0.25">
      <c r="L80">
        <f t="shared" si="20"/>
        <v>2</v>
      </c>
      <c r="M80" s="13">
        <v>5.9360047363231798E-2</v>
      </c>
      <c r="N80" s="14">
        <v>1.8913722628444801E-2</v>
      </c>
      <c r="O80" s="14">
        <v>5.1734294374595896E-2</v>
      </c>
      <c r="P80" s="15">
        <f t="shared" si="18"/>
        <v>4.3336021455424166E-2</v>
      </c>
      <c r="AG80" s="9">
        <v>0.06</v>
      </c>
      <c r="AH80" s="4">
        <v>6.4839650145772601E-2</v>
      </c>
      <c r="AI80" s="23">
        <v>8.2000000000000003E-2</v>
      </c>
      <c r="AJ80" s="33">
        <v>0.1335868227455807</v>
      </c>
      <c r="AK80" s="34">
        <v>-4.4400109639495283E-2</v>
      </c>
      <c r="AL80" s="29">
        <v>7720480.2000000002</v>
      </c>
      <c r="AM80" s="24">
        <f>SUM(AL79:AL80)/SUM(AL75:AL76)-1</f>
        <v>7.551850374899538E-2</v>
      </c>
      <c r="AN80" s="24">
        <v>9.5862268531412997E-2</v>
      </c>
    </row>
    <row r="81" spans="11:40" x14ac:dyDescent="0.25">
      <c r="L81">
        <f t="shared" si="20"/>
        <v>3</v>
      </c>
      <c r="M81" s="13">
        <v>4.21836851414377E-2</v>
      </c>
      <c r="N81" s="14">
        <v>1.7587948178490898E-2</v>
      </c>
      <c r="O81" s="14">
        <v>3.1905693924757797E-2</v>
      </c>
      <c r="P81" s="15">
        <f t="shared" si="18"/>
        <v>3.0559109081562133E-2</v>
      </c>
      <c r="AG81" s="9">
        <v>6.2E-2</v>
      </c>
      <c r="AH81" s="4">
        <v>6.580645161290323E-2</v>
      </c>
      <c r="AI81" s="23">
        <v>7.8E-2</v>
      </c>
      <c r="AJ81" s="33">
        <v>-8.6698344381629572E-2</v>
      </c>
      <c r="AK81" s="34">
        <v>3.6224673194373502E-2</v>
      </c>
      <c r="AL81" s="29">
        <v>7215428.7999999998</v>
      </c>
      <c r="AM81" s="24">
        <f>SUM(AL79:AL81)/SUM(AL75:AL77)-1</f>
        <v>6.7952503559979727E-2</v>
      </c>
      <c r="AN81" s="24">
        <v>0.10477467571642651</v>
      </c>
    </row>
    <row r="82" spans="11:40" x14ac:dyDescent="0.25">
      <c r="L82">
        <f t="shared" si="20"/>
        <v>4</v>
      </c>
      <c r="M82" s="13">
        <v>3.3086116866531901E-2</v>
      </c>
      <c r="N82" s="14">
        <v>2.5282063923950399E-2</v>
      </c>
      <c r="O82" s="14">
        <v>1.67552023182767E-2</v>
      </c>
      <c r="P82" s="15">
        <f t="shared" si="18"/>
        <v>2.5041127702919663E-2</v>
      </c>
      <c r="AG82" s="9">
        <v>6.9000000000000006E-2</v>
      </c>
      <c r="AH82" s="4">
        <v>7.0271002710027106E-2</v>
      </c>
      <c r="AI82" s="23">
        <v>8.5999999999999993E-2</v>
      </c>
      <c r="AJ82" s="33">
        <v>2.3647818943179581E-3</v>
      </c>
      <c r="AK82" s="34">
        <v>1.4560006886681527E-2</v>
      </c>
      <c r="AL82" s="29">
        <v>7739810.0999999996</v>
      </c>
      <c r="AM82" s="24">
        <f>SUM(AL79:AL82)/SUM(AL75:AL78)-1</f>
        <v>5.6022445440988333E-2</v>
      </c>
      <c r="AN82" s="24">
        <v>5.007151741911775E-2</v>
      </c>
    </row>
    <row r="83" spans="11:40" x14ac:dyDescent="0.25">
      <c r="K83">
        <f t="shared" ref="K83" si="23">K79+1</f>
        <v>2020</v>
      </c>
      <c r="L83">
        <f t="shared" si="20"/>
        <v>1</v>
      </c>
      <c r="M83" s="13">
        <v>-8.4404249553694993E-2</v>
      </c>
      <c r="N83" s="14">
        <v>-6.2710362637543898E-2</v>
      </c>
      <c r="O83" s="14">
        <v>-9.4287132937053805E-2</v>
      </c>
      <c r="P83" s="15">
        <f t="shared" si="18"/>
        <v>-8.0467248376097575E-2</v>
      </c>
      <c r="AG83" s="9">
        <v>7.0000000000000007E-2</v>
      </c>
      <c r="AH83" s="4">
        <v>7.9321608040201011E-2</v>
      </c>
      <c r="AI83" s="23">
        <v>8.1000000000000003E-2</v>
      </c>
      <c r="AJ83" s="33">
        <v>1.3627001592894018E-2</v>
      </c>
      <c r="AK83" s="34">
        <v>0.16398197373948545</v>
      </c>
      <c r="AL83" s="29">
        <v>4720726.7</v>
      </c>
      <c r="AM83" s="24">
        <f>SUM(AL83)/SUM(AL79)-1</f>
        <v>-0.10125210578294463</v>
      </c>
      <c r="AN83" s="24">
        <v>6.7815166993806963E-2</v>
      </c>
    </row>
    <row r="84" spans="11:40" x14ac:dyDescent="0.25">
      <c r="L84">
        <f t="shared" si="20"/>
        <v>2</v>
      </c>
      <c r="M84" s="13">
        <v>-4.2051231321361203E-2</v>
      </c>
      <c r="N84" s="14">
        <v>-2.18948615261375E-2</v>
      </c>
      <c r="O84" s="14">
        <v>-4.8637800842375206E-2</v>
      </c>
      <c r="P84" s="15">
        <f t="shared" si="18"/>
        <v>-3.7527964563291306E-2</v>
      </c>
      <c r="AG84" s="9">
        <v>6.8000000000000005E-2</v>
      </c>
      <c r="AH84" s="4">
        <v>7.517060367454069E-2</v>
      </c>
      <c r="AI84" s="23">
        <v>7.3999999999999996E-2</v>
      </c>
      <c r="AJ84" s="33">
        <v>-5.4359393599329293E-2</v>
      </c>
      <c r="AK84" s="34">
        <v>-5.5125258996226896E-2</v>
      </c>
      <c r="AL84" s="29">
        <v>7090270.0999999996</v>
      </c>
      <c r="AM84" s="24">
        <f>SUM(AL83:AL84)/SUM(AL79:AL80)-1</f>
        <v>-8.9573672464547172E-2</v>
      </c>
      <c r="AN84" s="24">
        <v>2.6579398973937352E-2</v>
      </c>
    </row>
    <row r="85" spans="11:40" x14ac:dyDescent="0.25">
      <c r="L85">
        <f t="shared" si="20"/>
        <v>3</v>
      </c>
      <c r="M85" s="13">
        <v>-7.7175081155155499E-3</v>
      </c>
      <c r="N85" s="14">
        <v>6.4246252617758404E-3</v>
      </c>
      <c r="O85" s="14">
        <v>-6.3151823984363593E-3</v>
      </c>
      <c r="P85" s="15">
        <f t="shared" si="18"/>
        <v>-2.5360217507253563E-3</v>
      </c>
      <c r="AG85" s="9">
        <v>6.2E-2</v>
      </c>
      <c r="AH85" s="4">
        <v>6.3955431754874656E-2</v>
      </c>
      <c r="AI85" s="23">
        <v>7.1999999999999995E-2</v>
      </c>
      <c r="AJ85" s="33">
        <v>5.0890588437292383E-2</v>
      </c>
      <c r="AK85" s="34">
        <v>0.14584548307950043</v>
      </c>
      <c r="AL85" s="29">
        <v>7024671.9000000004</v>
      </c>
      <c r="AM85" s="24">
        <f>SUM(AL83:AL85)/SUM(AL79:AL81)-1</f>
        <v>-6.7008535427085625E-2</v>
      </c>
      <c r="AN85" s="24">
        <v>1.3704198774220355E-2</v>
      </c>
    </row>
    <row r="86" spans="11:40" x14ac:dyDescent="0.25">
      <c r="L86">
        <f t="shared" si="20"/>
        <v>4</v>
      </c>
      <c r="M86" s="13">
        <v>1.8422168891331601E-2</v>
      </c>
      <c r="N86" s="14">
        <v>2.5242289488230697E-2</v>
      </c>
      <c r="O86" s="14">
        <v>3.1153287726530299E-2</v>
      </c>
      <c r="P86" s="15">
        <f t="shared" si="18"/>
        <v>2.4939248702030865E-2</v>
      </c>
      <c r="AG86" s="9">
        <v>0.04</v>
      </c>
      <c r="AH86" s="4">
        <v>3.0136363636363635E-2</v>
      </c>
      <c r="AI86" s="23">
        <v>4.5999999999999999E-2</v>
      </c>
      <c r="AJ86" s="33">
        <v>0.1590935518571551</v>
      </c>
      <c r="AK86" s="34">
        <v>5.7267145696543925E-2</v>
      </c>
      <c r="AL86" s="29">
        <v>7819708</v>
      </c>
      <c r="AM86" s="24">
        <f>SUM(AL83:AL86)/SUM(AL79:AL82)-1</f>
        <v>-4.557752458677311E-2</v>
      </c>
      <c r="AN86" s="24">
        <v>1.891687429537714E-2</v>
      </c>
    </row>
    <row r="87" spans="11:40" x14ac:dyDescent="0.25">
      <c r="K87">
        <f t="shared" ref="K87" si="24">K83+1</f>
        <v>2021</v>
      </c>
      <c r="L87">
        <f t="shared" si="20"/>
        <v>1</v>
      </c>
      <c r="M87" s="13">
        <v>2.8500187411177599E-2</v>
      </c>
      <c r="N87" s="14">
        <v>3.4011067543057202E-2</v>
      </c>
      <c r="O87" s="14">
        <v>3.9796279868621401E-2</v>
      </c>
      <c r="P87" s="15">
        <f t="shared" si="18"/>
        <v>3.4102511607618735E-2</v>
      </c>
      <c r="T87" s="30">
        <v>34.564727968377731</v>
      </c>
      <c r="U87" s="31">
        <v>29.418966994604411</v>
      </c>
      <c r="V87" s="31">
        <v>28.244046428640651</v>
      </c>
      <c r="W87" s="31">
        <v>46.573539020997892</v>
      </c>
      <c r="X87" s="31">
        <v>37.319888769354911</v>
      </c>
      <c r="Y87" s="31">
        <v>37.653351432334269</v>
      </c>
      <c r="Z87" s="31">
        <v>40.227056096759142</v>
      </c>
      <c r="AA87" s="31">
        <v>28.746206972915456</v>
      </c>
      <c r="AB87" s="31">
        <v>31.908303112300583</v>
      </c>
      <c r="AC87" s="32">
        <v>28.940144341964597</v>
      </c>
      <c r="AF87" s="32"/>
      <c r="AG87" s="9">
        <v>2.9000000000000001E-2</v>
      </c>
      <c r="AH87" s="4">
        <v>3.7195704057279233E-2</v>
      </c>
      <c r="AI87" s="23">
        <v>3.3416666666666671E-2</v>
      </c>
      <c r="AJ87" s="33">
        <v>-8.6707857707743557E-2</v>
      </c>
      <c r="AK87" s="34">
        <v>-0.17588830035142408</v>
      </c>
      <c r="AL87" s="29">
        <v>5420561.7999999998</v>
      </c>
      <c r="AM87" s="24">
        <f>SUM(AL87)/SUM(AL83)-1</f>
        <v>0.14824732387070827</v>
      </c>
      <c r="AN87" s="24">
        <v>1.0653919851027815E-2</v>
      </c>
    </row>
    <row r="88" spans="11:40" x14ac:dyDescent="0.25">
      <c r="L88">
        <f t="shared" si="20"/>
        <v>2</v>
      </c>
      <c r="M88" s="13">
        <v>-5.1410254186941902E-2</v>
      </c>
      <c r="N88" s="14">
        <v>-2.8664335832143201E-2</v>
      </c>
      <c r="O88" s="14">
        <v>-4.0350064193624399E-2</v>
      </c>
      <c r="P88" s="15">
        <f t="shared" si="18"/>
        <v>-4.0141551404236496E-2</v>
      </c>
      <c r="T88" s="30">
        <v>41.334684620338422</v>
      </c>
      <c r="U88" s="31">
        <v>40.84126459501887</v>
      </c>
      <c r="V88" s="31">
        <v>41.461770105451279</v>
      </c>
      <c r="W88" s="31">
        <v>48.858982940760797</v>
      </c>
      <c r="X88" s="31">
        <v>29.857898747272028</v>
      </c>
      <c r="Y88" s="31">
        <v>44.663813152269803</v>
      </c>
      <c r="Z88" s="31">
        <v>44.243353762897371</v>
      </c>
      <c r="AA88" s="31">
        <v>37.407327506333779</v>
      </c>
      <c r="AB88" s="31">
        <v>37.504940080022223</v>
      </c>
      <c r="AC88" s="32">
        <v>39.037226233235081</v>
      </c>
      <c r="AF88" s="32"/>
      <c r="AG88" s="9">
        <v>3.1159999999999997E-2</v>
      </c>
      <c r="AH88" s="4">
        <v>1.8822355289421153E-2</v>
      </c>
      <c r="AI88" s="23">
        <v>5.8812175000000001E-2</v>
      </c>
      <c r="AJ88" s="33">
        <v>-5.5899887212443704E-2</v>
      </c>
      <c r="AK88" s="34">
        <v>2.9282576160968118E-2</v>
      </c>
      <c r="AL88" s="29">
        <v>7133813.2000000002</v>
      </c>
      <c r="AM88" s="24">
        <f>SUM(AL87:AL88)/SUM(AL83:AL84)-1</f>
        <v>6.2939497198068795E-2</v>
      </c>
      <c r="AN88" s="24">
        <v>6.0064927677651037E-2</v>
      </c>
    </row>
    <row r="89" spans="11:40" x14ac:dyDescent="0.25">
      <c r="L89">
        <f t="shared" si="20"/>
        <v>3</v>
      </c>
      <c r="M89" s="13">
        <v>-3.6097742136289496E-2</v>
      </c>
      <c r="N89" s="14">
        <v>-8.9342026248681507E-3</v>
      </c>
      <c r="O89" s="14">
        <v>-3.2247364891332404E-2</v>
      </c>
      <c r="P89" s="15">
        <f t="shared" si="18"/>
        <v>-2.5759769884163352E-2</v>
      </c>
      <c r="T89" s="30">
        <v>43.170849390958331</v>
      </c>
      <c r="U89" s="31">
        <v>46.02783040494306</v>
      </c>
      <c r="V89" s="31">
        <v>44.740206940460212</v>
      </c>
      <c r="W89" s="31">
        <v>45.434595784710105</v>
      </c>
      <c r="X89" s="31">
        <v>31.927092024896954</v>
      </c>
      <c r="Y89" s="31">
        <v>43.014655736837902</v>
      </c>
      <c r="Z89" s="31">
        <v>46.184005771557061</v>
      </c>
      <c r="AA89" s="31">
        <v>36.095705943794407</v>
      </c>
      <c r="AB89" s="31">
        <v>41.709740184747716</v>
      </c>
      <c r="AC89" s="32">
        <v>40.708777885987594</v>
      </c>
      <c r="AF89" s="32"/>
      <c r="AG89" s="9">
        <v>8.7126168224299083E-2</v>
      </c>
      <c r="AH89" s="4">
        <v>4.5155279503105591E-2</v>
      </c>
      <c r="AI89" s="23">
        <v>7.390909090909091E-2</v>
      </c>
      <c r="AJ89" s="33">
        <v>-3.4707136395974621E-2</v>
      </c>
      <c r="AK89" s="34">
        <v>-2.7494336710494744E-2</v>
      </c>
      <c r="AL89" s="29">
        <v>6980592.2999999998</v>
      </c>
      <c r="AM89" s="24">
        <f>SUM(AL87:AL89)/SUM(AL83:AL85)-1</f>
        <v>3.712629538870571E-2</v>
      </c>
      <c r="AN89" s="24">
        <v>9.1287872736091513E-2</v>
      </c>
    </row>
    <row r="90" spans="11:40" x14ac:dyDescent="0.25">
      <c r="L90">
        <f t="shared" si="20"/>
        <v>4</v>
      </c>
      <c r="M90" s="13">
        <v>-3.9369675358161597E-2</v>
      </c>
      <c r="N90" s="14">
        <v>-9.1379120915438088E-3</v>
      </c>
      <c r="O90" s="14">
        <v>-3.4439077953162298E-2</v>
      </c>
      <c r="P90" s="15">
        <f t="shared" si="18"/>
        <v>-2.7648888467622566E-2</v>
      </c>
      <c r="T90" s="30">
        <v>41.765103849581322</v>
      </c>
      <c r="U90" s="31">
        <v>46.861500589003505</v>
      </c>
      <c r="V90" s="31">
        <v>43.542492884220643</v>
      </c>
      <c r="W90" s="31">
        <v>49.865030143854568</v>
      </c>
      <c r="X90" s="31">
        <v>23.639719959489273</v>
      </c>
      <c r="Y90" s="31">
        <v>33.020664291308051</v>
      </c>
      <c r="Z90" s="31">
        <v>44.452879038622953</v>
      </c>
      <c r="AA90" s="31">
        <v>30.748169375502794</v>
      </c>
      <c r="AB90" s="31">
        <v>42.573257671851927</v>
      </c>
      <c r="AC90" s="32">
        <v>40.443554939732081</v>
      </c>
      <c r="AF90" s="32"/>
      <c r="AG90" s="9">
        <v>8.1488833746898276E-2</v>
      </c>
      <c r="AH90" s="4">
        <v>5.0130718954248379E-2</v>
      </c>
      <c r="AI90" s="23">
        <v>9.6000000000000002E-2</v>
      </c>
      <c r="AJ90" s="33">
        <v>-0.23735708705352279</v>
      </c>
      <c r="AK90" s="34">
        <v>-0.16712687620720543</v>
      </c>
      <c r="AL90" s="29">
        <v>7556696.5</v>
      </c>
      <c r="AM90" s="24">
        <f>SUM(AL87:AL90)/SUM(AL83:AL86)-1</f>
        <v>1.6367695902793189E-2</v>
      </c>
      <c r="AN90" s="24">
        <v>0.13787012127536502</v>
      </c>
    </row>
    <row r="91" spans="11:40" x14ac:dyDescent="0.25">
      <c r="K91">
        <f t="shared" ref="K91" si="25">K87+1</f>
        <v>2022</v>
      </c>
      <c r="L91">
        <f t="shared" si="20"/>
        <v>1</v>
      </c>
      <c r="M91" s="13">
        <v>-3.4000951943717099E-2</v>
      </c>
      <c r="N91" s="14">
        <v>-1.04600157096525E-2</v>
      </c>
      <c r="O91" s="14">
        <v>-3.4570149980120701E-2</v>
      </c>
      <c r="P91" s="15">
        <f t="shared" si="18"/>
        <v>-2.6343705877830099E-2</v>
      </c>
      <c r="T91" s="30">
        <v>36.754446044929566</v>
      </c>
      <c r="U91" s="31">
        <v>38.041092638720244</v>
      </c>
      <c r="V91" s="31">
        <v>37.638706227469257</v>
      </c>
      <c r="W91" s="31">
        <v>49.480563667771563</v>
      </c>
      <c r="X91" s="31">
        <v>18.523745947956794</v>
      </c>
      <c r="Y91" s="31">
        <v>32.577670706983469</v>
      </c>
      <c r="Z91" s="31">
        <v>35.626438101461147</v>
      </c>
      <c r="AA91" s="31">
        <v>36.859077381298739</v>
      </c>
      <c r="AB91" s="31">
        <v>35.053707943347774</v>
      </c>
      <c r="AC91" s="32">
        <v>39.084199074885426</v>
      </c>
      <c r="AD91" s="30">
        <v>103.48211518561132</v>
      </c>
      <c r="AE91" s="31">
        <v>113.95409181916231</v>
      </c>
      <c r="AF91" s="32"/>
      <c r="AG91" s="9">
        <v>0.10159065628476084</v>
      </c>
      <c r="AH91" s="4">
        <v>8.7014925373134322E-2</v>
      </c>
      <c r="AI91" s="23">
        <v>0.15736329564986409</v>
      </c>
      <c r="AJ91" s="33">
        <v>5.7775740611057412E-2</v>
      </c>
      <c r="AK91" s="34">
        <v>4.1844023094048895E-2</v>
      </c>
      <c r="AL91" s="29">
        <v>5214062.5</v>
      </c>
      <c r="AM91" s="24">
        <f>SUM(AL91)/SUM(AL87)-1</f>
        <v>-3.8095553121449521E-2</v>
      </c>
      <c r="AN91" s="24">
        <v>0.15890878288282306</v>
      </c>
    </row>
    <row r="92" spans="11:40" x14ac:dyDescent="0.25">
      <c r="L92">
        <f t="shared" si="20"/>
        <v>2</v>
      </c>
      <c r="M92" s="13">
        <v>-9.0683293360302696E-3</v>
      </c>
      <c r="N92" s="14">
        <v>1.93987202871953E-3</v>
      </c>
      <c r="O92" s="14">
        <v>-1.6016216236038203E-2</v>
      </c>
      <c r="P92" s="15">
        <f t="shared" si="18"/>
        <v>-7.7148911811163144E-3</v>
      </c>
      <c r="T92" s="30">
        <v>46.915411914839801</v>
      </c>
      <c r="U92" s="31">
        <v>45.673139314941366</v>
      </c>
      <c r="V92" s="31">
        <v>48.308145493385595</v>
      </c>
      <c r="W92" s="31">
        <v>51.267610079838178</v>
      </c>
      <c r="X92" s="31">
        <v>44.23998156149058</v>
      </c>
      <c r="Y92" s="31">
        <v>42.469144968197661</v>
      </c>
      <c r="Z92" s="31">
        <v>45.852789626731358</v>
      </c>
      <c r="AA92" s="31">
        <v>35.046907738409729</v>
      </c>
      <c r="AB92" s="31">
        <v>45.435578665262035</v>
      </c>
      <c r="AC92" s="32">
        <v>50.490893144792452</v>
      </c>
      <c r="AD92" s="30">
        <v>94.478759292358717</v>
      </c>
      <c r="AE92" s="31">
        <v>106.67177250206066</v>
      </c>
      <c r="AF92" s="32">
        <v>144.12661409425749</v>
      </c>
      <c r="AG92" s="9">
        <v>0.11389908256880735</v>
      </c>
      <c r="AH92" s="4">
        <v>9.1283582089552256E-2</v>
      </c>
      <c r="AI92" s="23">
        <v>0.15199499999999999</v>
      </c>
      <c r="AJ92" s="33">
        <v>0.39256953990604082</v>
      </c>
      <c r="AK92" s="34">
        <v>0.2397641165469043</v>
      </c>
      <c r="AL92" s="29">
        <v>7593802.7999999998</v>
      </c>
      <c r="AM92" s="24">
        <f>SUM(AL91:AL92)/SUM(AL87:AL88)-1</f>
        <v>2.0191391447204721E-2</v>
      </c>
      <c r="AN92" s="24">
        <v>0.16591769171525583</v>
      </c>
    </row>
    <row r="93" spans="11:40" x14ac:dyDescent="0.25">
      <c r="L93">
        <f t="shared" si="20"/>
        <v>3</v>
      </c>
      <c r="M93" s="13">
        <v>9.7461697434914601E-3</v>
      </c>
      <c r="N93" s="14">
        <v>8.6612601744399994E-3</v>
      </c>
      <c r="O93" s="14">
        <v>4.8827676626842396E-3</v>
      </c>
      <c r="P93" s="15">
        <f t="shared" si="18"/>
        <v>7.7633991935385669E-3</v>
      </c>
      <c r="T93" s="30">
        <v>44.920395816083278</v>
      </c>
      <c r="U93" s="31">
        <v>45.10669820487432</v>
      </c>
      <c r="V93" s="31">
        <v>46.540209418300279</v>
      </c>
      <c r="W93" s="31">
        <v>48.870815608050087</v>
      </c>
      <c r="X93" s="31">
        <v>40.318174980277718</v>
      </c>
      <c r="Y93" s="31">
        <v>39.314446313942391</v>
      </c>
      <c r="Z93" s="31">
        <v>46.880518810334245</v>
      </c>
      <c r="AA93" s="31">
        <v>35.921809849138093</v>
      </c>
      <c r="AB93" s="31">
        <v>38.246572584760827</v>
      </c>
      <c r="AC93" s="32">
        <v>46.414536258017556</v>
      </c>
      <c r="AD93" s="30">
        <v>91.435207843890566</v>
      </c>
      <c r="AE93" s="31">
        <v>101.58650765885073</v>
      </c>
      <c r="AF93" s="32">
        <v>126.75547239086688</v>
      </c>
      <c r="AG93" s="9">
        <v>0.15229698375870065</v>
      </c>
      <c r="AH93" s="4">
        <v>6.7599999999999993E-2</v>
      </c>
      <c r="AI93" s="23">
        <v>0.15404090591305156</v>
      </c>
      <c r="AJ93" s="33">
        <v>0.5075609544784786</v>
      </c>
      <c r="AK93" s="34">
        <v>0.19487802514936675</v>
      </c>
      <c r="AL93" s="29">
        <v>7479047.0999999996</v>
      </c>
      <c r="AM93" s="24">
        <f>SUM(AL91:AL93)/SUM(AL87:AL89)-1</f>
        <v>3.8492263050780684E-2</v>
      </c>
      <c r="AN93" s="24">
        <v>0.1402941851155366</v>
      </c>
    </row>
    <row r="94" spans="11:40" x14ac:dyDescent="0.25">
      <c r="L94">
        <f t="shared" si="20"/>
        <v>4</v>
      </c>
      <c r="M94" s="13">
        <v>1.4074269854259001E-2</v>
      </c>
      <c r="N94" s="14">
        <v>4.8733248340063302E-3</v>
      </c>
      <c r="O94" s="14">
        <v>7.7940663294777304E-3</v>
      </c>
      <c r="P94" s="15">
        <f t="shared" si="18"/>
        <v>8.9138870059143546E-3</v>
      </c>
      <c r="T94" s="30">
        <v>48.240289508302823</v>
      </c>
      <c r="U94" s="31">
        <v>47.808097016590963</v>
      </c>
      <c r="V94" s="31">
        <v>51.594781320821049</v>
      </c>
      <c r="W94" s="31">
        <v>49.419999146656103</v>
      </c>
      <c r="X94" s="31">
        <v>46.867782513995024</v>
      </c>
      <c r="Y94" s="31">
        <v>40.849978666898011</v>
      </c>
      <c r="Z94" s="31">
        <v>53.093464741891225</v>
      </c>
      <c r="AA94" s="31">
        <v>30.383451652389599</v>
      </c>
      <c r="AB94" s="31">
        <v>42.486968458719502</v>
      </c>
      <c r="AC94" s="32">
        <v>46.850534316668771</v>
      </c>
      <c r="AD94" s="30">
        <v>95.100391614815962</v>
      </c>
      <c r="AE94" s="31">
        <v>114.48355222803437</v>
      </c>
      <c r="AF94" s="32">
        <v>125.50912835857473</v>
      </c>
      <c r="AG94" s="9">
        <v>0.14295918367346935</v>
      </c>
      <c r="AH94" s="4">
        <v>6.8903225806451612E-2</v>
      </c>
      <c r="AI94" s="23">
        <v>0.14597207944716406</v>
      </c>
      <c r="AJ94" s="33">
        <v>-0.24003698880424454</v>
      </c>
      <c r="AK94" s="34">
        <v>-0.16545134685445864</v>
      </c>
      <c r="AL94" s="29">
        <v>8168196.2000000002</v>
      </c>
      <c r="AM94" s="24">
        <f>SUM(AL91:AL94)/SUM(AL87:AL90)-1</f>
        <v>5.0327097296992029E-2</v>
      </c>
      <c r="AN94" s="24">
        <v>0.12859791818843758</v>
      </c>
    </row>
    <row r="95" spans="11:40" x14ac:dyDescent="0.25">
      <c r="K95">
        <f t="shared" ref="K95" si="26">K91+1</f>
        <v>2023</v>
      </c>
      <c r="L95">
        <f t="shared" si="20"/>
        <v>1</v>
      </c>
      <c r="M95" s="13">
        <v>1.71288802152776E-2</v>
      </c>
      <c r="N95" s="14">
        <v>4.4816333740523798E-3</v>
      </c>
      <c r="O95" s="14">
        <v>1.24709702978444E-2</v>
      </c>
      <c r="P95" s="15">
        <f t="shared" si="18"/>
        <v>1.1360494629058126E-2</v>
      </c>
      <c r="T95" s="30">
        <v>50.975410846090185</v>
      </c>
      <c r="U95" s="31">
        <v>48.86101126391695</v>
      </c>
      <c r="V95" s="31">
        <v>53.461942522663307</v>
      </c>
      <c r="W95" s="31">
        <v>52.321137458168543</v>
      </c>
      <c r="X95" s="31">
        <v>48.832532415788386</v>
      </c>
      <c r="Y95" s="31">
        <v>51.625144822473089</v>
      </c>
      <c r="Z95" s="31">
        <v>50.21175914663629</v>
      </c>
      <c r="AA95" s="31">
        <v>47.443730199844161</v>
      </c>
      <c r="AB95" s="31">
        <v>56.185910964943716</v>
      </c>
      <c r="AC95" s="32">
        <v>50.476457390223359</v>
      </c>
      <c r="AD95" s="30">
        <v>105.12925545756318</v>
      </c>
      <c r="AE95" s="31">
        <v>129.3383585767192</v>
      </c>
      <c r="AF95" s="32">
        <v>111.19286720515105</v>
      </c>
      <c r="AG95" s="9">
        <v>0.10256310679611649</v>
      </c>
      <c r="AH95" s="4">
        <v>7.6793587174348699E-2</v>
      </c>
      <c r="AI95" s="23">
        <v>0.12476947112723669</v>
      </c>
      <c r="AJ95" s="33">
        <v>5.598661243597524E-2</v>
      </c>
      <c r="AK95" s="34">
        <v>6.2276386988271305E-3</v>
      </c>
      <c r="AL95" s="29">
        <v>5629806.9000000004</v>
      </c>
      <c r="AM95" s="24">
        <f>SUM(AL95)/SUM(AL91)-1</f>
        <v>7.9735216062331471E-2</v>
      </c>
      <c r="AN95" s="24">
        <v>0.12109492765387775</v>
      </c>
    </row>
    <row r="96" spans="11:40" x14ac:dyDescent="0.25">
      <c r="L96">
        <f t="shared" si="20"/>
        <v>2</v>
      </c>
      <c r="M96" s="13">
        <v>2.0477541226596202E-2</v>
      </c>
      <c r="N96" s="14">
        <v>8.2614326598114789E-3</v>
      </c>
      <c r="O96" s="14">
        <v>2.2315647837708102E-2</v>
      </c>
      <c r="P96" s="15">
        <f t="shared" si="18"/>
        <v>1.7018207241371926E-2</v>
      </c>
      <c r="T96" s="30">
        <v>52.313711147842398</v>
      </c>
      <c r="U96" s="31">
        <v>54.198307406428512</v>
      </c>
      <c r="V96" s="31">
        <v>58.291160064658513</v>
      </c>
      <c r="W96" s="31">
        <v>45.757937645015659</v>
      </c>
      <c r="X96" s="31">
        <v>47.105563480221015</v>
      </c>
      <c r="Y96" s="31">
        <v>52.640068587129441</v>
      </c>
      <c r="Z96" s="31">
        <v>52.557933896010503</v>
      </c>
      <c r="AA96" s="31">
        <v>44.85105959097536</v>
      </c>
      <c r="AB96" s="31">
        <v>50.371233790756484</v>
      </c>
      <c r="AC96" s="32">
        <v>53.5902071578044</v>
      </c>
      <c r="AD96" s="30">
        <v>107.82159903777851</v>
      </c>
      <c r="AE96" s="31">
        <v>110.59382738788712</v>
      </c>
      <c r="AF96" s="32">
        <v>118.12603888902248</v>
      </c>
      <c r="AG96" s="9">
        <v>8.4096742349457063E-2</v>
      </c>
      <c r="AH96" s="4">
        <v>7.4385964912280708E-2</v>
      </c>
      <c r="AI96" s="23">
        <v>0.11375028188421668</v>
      </c>
      <c r="AJ96" s="33">
        <v>0</v>
      </c>
      <c r="AK96" s="34">
        <v>5.2043508080518008E-3</v>
      </c>
      <c r="AL96" s="29">
        <v>8030992.9000000004</v>
      </c>
      <c r="AM96" s="24">
        <f>SUM(AL95:AL96)/SUM(AL91:AL92)-1</f>
        <v>6.6594586999599414E-2</v>
      </c>
      <c r="AN96" s="24">
        <v>0.10429833677384526</v>
      </c>
    </row>
    <row r="97" spans="11:40" x14ac:dyDescent="0.25">
      <c r="L97">
        <f t="shared" si="20"/>
        <v>3</v>
      </c>
      <c r="T97" s="30">
        <v>52.843862500593808</v>
      </c>
      <c r="U97" s="31">
        <v>55.184132436857311</v>
      </c>
      <c r="V97" s="31">
        <v>58.233321654793414</v>
      </c>
      <c r="W97" s="31">
        <v>46.91251271223782</v>
      </c>
      <c r="X97" s="31">
        <v>46.809629723399183</v>
      </c>
      <c r="Y97" s="31">
        <v>53.263453548808172</v>
      </c>
      <c r="Z97" s="31">
        <v>54.090218474154192</v>
      </c>
      <c r="AA97" s="31">
        <v>39.049762986178713</v>
      </c>
      <c r="AB97" s="31">
        <v>52.433831987005441</v>
      </c>
      <c r="AC97" s="32">
        <v>53.113801491758004</v>
      </c>
      <c r="AD97" s="30">
        <v>109.27468601356971</v>
      </c>
      <c r="AE97" s="31">
        <v>115.7554000790373</v>
      </c>
      <c r="AF97" s="32">
        <v>119.51528002868437</v>
      </c>
      <c r="AG97" s="9">
        <v>0.10871794871794872</v>
      </c>
      <c r="AH97" s="4">
        <v>6.6178861788617885E-2</v>
      </c>
      <c r="AI97" s="23">
        <v>0.10100000000000001</v>
      </c>
      <c r="AJ97" s="33">
        <v>-9.4265496175454557E-5</v>
      </c>
      <c r="AK97" s="34">
        <v>5.5605774868950644E-2</v>
      </c>
      <c r="AL97" s="29">
        <v>8090660.0999999996</v>
      </c>
      <c r="AM97" s="24">
        <f>SUM(AL95:AL97)/SUM(AL91:AL93)-1</f>
        <v>7.2191739734628113E-2</v>
      </c>
      <c r="AN97" s="24">
        <v>0.10241309150999811</v>
      </c>
    </row>
    <row r="98" spans="11:40" x14ac:dyDescent="0.25">
      <c r="L98">
        <f t="shared" si="20"/>
        <v>4</v>
      </c>
      <c r="T98" s="30">
        <v>56.49379554137348</v>
      </c>
      <c r="U98" s="31">
        <v>58.329263353649075</v>
      </c>
      <c r="V98" s="31">
        <v>60.842441118682565</v>
      </c>
      <c r="W98" s="31">
        <v>56.260922311580451</v>
      </c>
      <c r="X98" s="31">
        <v>49.584898496529384</v>
      </c>
      <c r="Y98" s="31">
        <v>50.944870188126181</v>
      </c>
      <c r="Z98" s="31">
        <v>59.29410801420115</v>
      </c>
      <c r="AA98" s="31">
        <v>44.958220819121784</v>
      </c>
      <c r="AB98" s="31">
        <v>49.969972332809256</v>
      </c>
      <c r="AC98" s="32">
        <v>57.359685404272199</v>
      </c>
      <c r="AD98" s="30">
        <v>108.34144658993317</v>
      </c>
      <c r="AE98" s="31">
        <v>121.52589661753289</v>
      </c>
      <c r="AF98" s="32">
        <v>111.26335363194761</v>
      </c>
      <c r="AG98" s="9">
        <v>8.6474103585657366E-2</v>
      </c>
      <c r="AH98" s="4">
        <v>6.9898989898989891E-2</v>
      </c>
      <c r="AI98" s="23">
        <v>9.8000000000000004E-2</v>
      </c>
      <c r="AJ98" s="33">
        <v>0.22458284978274484</v>
      </c>
      <c r="AK98" s="34">
        <v>-0.17832087797278123</v>
      </c>
      <c r="AL98" s="29">
        <v>8815619</v>
      </c>
      <c r="AM98" s="24">
        <f>SUM(AL95:AL98)/SUM(AL91:AL94)-1</f>
        <v>7.4221129488150961E-2</v>
      </c>
      <c r="AN98" s="24">
        <v>8.6288884805786781E-2</v>
      </c>
    </row>
    <row r="99" spans="11:40" x14ac:dyDescent="0.25">
      <c r="K99">
        <f t="shared" ref="K99" si="27">K95+1</f>
        <v>2024</v>
      </c>
      <c r="L99">
        <f t="shared" si="20"/>
        <v>1</v>
      </c>
      <c r="T99" s="30">
        <v>54.179399940606785</v>
      </c>
      <c r="U99" s="31">
        <v>53.425880970946451</v>
      </c>
      <c r="V99" s="31">
        <v>55.330112310272028</v>
      </c>
      <c r="W99" s="31">
        <v>57.622879403597793</v>
      </c>
      <c r="X99" s="31">
        <v>44.964595494817537</v>
      </c>
      <c r="Y99" s="31">
        <v>60.498423668126577</v>
      </c>
      <c r="Z99" s="31">
        <v>55.150609737351999</v>
      </c>
      <c r="AA99" s="31">
        <v>47.844941009925357</v>
      </c>
      <c r="AB99" s="31">
        <v>49.142192435445594</v>
      </c>
      <c r="AC99" s="32">
        <v>54.543067814185534</v>
      </c>
      <c r="AD99" s="30">
        <v>109.49922716465818</v>
      </c>
      <c r="AE99" s="31">
        <v>123.29895470936253</v>
      </c>
      <c r="AF99" s="32">
        <v>122.56484167126935</v>
      </c>
      <c r="AG99" s="9">
        <v>9.3096264884354393E-2</v>
      </c>
      <c r="AH99" s="4">
        <v>7.3812636165577331E-2</v>
      </c>
      <c r="AI99" s="23">
        <v>8.5000000000000006E-2</v>
      </c>
      <c r="AJ99" s="33">
        <v>-8.6821445587662874E-2</v>
      </c>
      <c r="AK99" s="34">
        <v>1.0412878190528184E-2</v>
      </c>
      <c r="AL99" s="29">
        <v>6084179.7000000002</v>
      </c>
      <c r="AM99" s="24">
        <f>SUM(AL99)/SUM(AL95)-1</f>
        <v>8.0708416482277556E-2</v>
      </c>
      <c r="AN99" s="24">
        <v>6.9688439141017522E-2</v>
      </c>
    </row>
    <row r="100" spans="11:40" x14ac:dyDescent="0.25">
      <c r="L100">
        <f t="shared" si="20"/>
        <v>2</v>
      </c>
      <c r="T100" s="30">
        <v>52.325483714526911</v>
      </c>
      <c r="U100" s="31">
        <v>51.289715620034336</v>
      </c>
      <c r="V100" s="31">
        <v>61.428848441844011</v>
      </c>
      <c r="W100" s="31">
        <v>51.655272620945837</v>
      </c>
      <c r="X100" s="31">
        <v>40.655436093965967</v>
      </c>
      <c r="Y100" s="31">
        <v>51.519869797715486</v>
      </c>
      <c r="Z100" s="31">
        <v>49.912895376679529</v>
      </c>
      <c r="AA100" s="31">
        <v>48.970664805832463</v>
      </c>
      <c r="AB100" s="31">
        <v>54.370986662051713</v>
      </c>
      <c r="AC100" s="32">
        <v>55.161663961571151</v>
      </c>
      <c r="AD100" s="30">
        <v>105.7906739473309</v>
      </c>
      <c r="AE100" s="31">
        <v>114.41633758226419</v>
      </c>
      <c r="AF100" s="32">
        <v>120.56393400496718</v>
      </c>
      <c r="AG100" s="9">
        <v>6.924000000000001E-2</v>
      </c>
      <c r="AH100" s="4">
        <v>6.7935483870967706E-2</v>
      </c>
      <c r="AI100" s="23">
        <v>6.7863243332766665E-2</v>
      </c>
      <c r="AJ100" s="33">
        <v>0.13321709599416004</v>
      </c>
      <c r="AK100" s="34">
        <v>0.16044363202258191</v>
      </c>
      <c r="AL100" s="29">
        <v>8361436.5999999996</v>
      </c>
      <c r="AM100" s="24">
        <f>SUM(AL99:AL100)/SUM(AL95:AL96)-1</f>
        <v>5.7450259976725482E-2</v>
      </c>
      <c r="AN100" s="24">
        <v>4.7835787817111619E-2</v>
      </c>
    </row>
    <row r="101" spans="11:40" x14ac:dyDescent="0.25">
      <c r="L101">
        <f t="shared" si="20"/>
        <v>3</v>
      </c>
      <c r="T101" s="30">
        <v>50.731602876996163</v>
      </c>
      <c r="U101" s="31">
        <v>49.100900284865396</v>
      </c>
      <c r="V101" s="31">
        <v>56.637768343489839</v>
      </c>
      <c r="W101" s="31">
        <v>51.915772039357066</v>
      </c>
      <c r="X101" s="31">
        <v>41.772992683570884</v>
      </c>
      <c r="Y101" s="31">
        <v>51.927873952570394</v>
      </c>
      <c r="Z101" s="31">
        <v>48.929585096176474</v>
      </c>
      <c r="AA101" s="31">
        <v>43.25988755459538</v>
      </c>
      <c r="AB101" s="31">
        <v>52.246062732650586</v>
      </c>
      <c r="AC101" s="32">
        <v>53.267363402446101</v>
      </c>
      <c r="AD101" s="30">
        <v>99.883330195203655</v>
      </c>
      <c r="AE101" s="31">
        <v>110.09315382328128</v>
      </c>
      <c r="AF101" s="32">
        <v>133.68320475258949</v>
      </c>
      <c r="AG101" s="9">
        <v>6.3128654970760242E-2</v>
      </c>
      <c r="AH101" s="4">
        <v>5.4662921348314603E-2</v>
      </c>
      <c r="AI101" s="23">
        <v>6.1429381916956974E-2</v>
      </c>
      <c r="AJ101" s="33">
        <v>-0.20678128411101773</v>
      </c>
      <c r="AK101" s="34">
        <v>-0.15905236406860013</v>
      </c>
      <c r="AL101" s="29">
        <v>8444957.4000000004</v>
      </c>
      <c r="AM101" s="24">
        <f>SUM(AL99:AL101)/SUM(AL95:AL97)-1</f>
        <v>5.2369533136486401E-2</v>
      </c>
      <c r="AN101" s="24">
        <v>6.4608728232127488E-2</v>
      </c>
    </row>
    <row r="102" spans="11:40" x14ac:dyDescent="0.25">
      <c r="L102">
        <f t="shared" si="20"/>
        <v>4</v>
      </c>
      <c r="T102" s="30">
        <v>52.865149727436425</v>
      </c>
      <c r="U102" s="31">
        <v>50.547279289928348</v>
      </c>
      <c r="V102" s="31">
        <v>56.70240795277698</v>
      </c>
      <c r="W102" s="31">
        <v>53.204861013160162</v>
      </c>
      <c r="X102" s="31">
        <v>47.206103030123288</v>
      </c>
      <c r="Y102" s="31">
        <v>58.034762951131434</v>
      </c>
      <c r="Z102" s="31">
        <v>54.209709797282116</v>
      </c>
      <c r="AA102" s="31">
        <v>46.77894785458615</v>
      </c>
      <c r="AB102" s="31">
        <v>49.176115806043356</v>
      </c>
      <c r="AC102" s="32">
        <v>52.582371792554419</v>
      </c>
      <c r="AD102" s="30">
        <v>98.665358824014476</v>
      </c>
      <c r="AE102" s="31">
        <v>121.78754490123139</v>
      </c>
      <c r="AF102" s="32">
        <v>131.5069982749439</v>
      </c>
      <c r="AG102" s="9">
        <v>8.5066828675577161E-2</v>
      </c>
      <c r="AH102" s="4">
        <v>7.3703703703703702E-2</v>
      </c>
      <c r="AI102" s="23">
        <v>7.495344343733E-2</v>
      </c>
      <c r="AJ102" s="33">
        <v>-0.11014197166004616</v>
      </c>
      <c r="AK102" s="34">
        <v>-0.16026151437366432</v>
      </c>
      <c r="AL102" s="29">
        <v>9242164.8000000007</v>
      </c>
      <c r="AM102" s="24">
        <f>SUM(AL99:AL102)/SUM(AL95:AL98)-1</f>
        <v>5.1220452079246748E-2</v>
      </c>
      <c r="AN102" s="24">
        <v>9.0875451226547943E-2</v>
      </c>
    </row>
    <row r="103" spans="11:40" x14ac:dyDescent="0.25">
      <c r="K103">
        <f t="shared" ref="K103" si="28">K99+1</f>
        <v>2025</v>
      </c>
      <c r="L103">
        <f t="shared" si="20"/>
        <v>1</v>
      </c>
      <c r="T103" s="30">
        <v>44.809501149994844</v>
      </c>
      <c r="U103" s="31">
        <v>39.944079076337843</v>
      </c>
      <c r="V103" s="31">
        <v>40.683370324261126</v>
      </c>
      <c r="W103" s="31">
        <v>49.52971454348647</v>
      </c>
      <c r="X103" s="31">
        <v>52.172782004769402</v>
      </c>
      <c r="Y103" s="31">
        <v>49.235746366155098</v>
      </c>
      <c r="Z103" s="31">
        <v>45.620164607365595</v>
      </c>
      <c r="AA103" s="31">
        <v>41.351307717445081</v>
      </c>
      <c r="AB103" s="31">
        <v>39.044326116534748</v>
      </c>
      <c r="AC103" s="32">
        <v>45.839083581797716</v>
      </c>
      <c r="AD103" s="30">
        <v>90.396099041314315</v>
      </c>
      <c r="AE103" s="31">
        <v>108.24387497781473</v>
      </c>
      <c r="AF103" s="32">
        <v>140.60293662166976</v>
      </c>
      <c r="AG103" s="9">
        <v>0.10841683366733469</v>
      </c>
      <c r="AH103" s="4">
        <v>7.9758454106280186E-2</v>
      </c>
      <c r="AI103" s="23">
        <v>0.1010114673963713</v>
      </c>
      <c r="AJ103" s="33">
        <v>-6.7299361952445291E-2</v>
      </c>
      <c r="AK103" s="34">
        <v>-5.1390238123109375E-2</v>
      </c>
      <c r="AL103" s="29">
        <v>6244927</v>
      </c>
      <c r="AM103" s="24">
        <f>SUM(AL103)/SUM(AL99)-1</f>
        <v>2.642053784177345E-2</v>
      </c>
      <c r="AN103" s="24">
        <v>0.10106900499041793</v>
      </c>
    </row>
    <row r="104" spans="11:40" x14ac:dyDescent="0.25">
      <c r="L104">
        <f t="shared" si="20"/>
        <v>2</v>
      </c>
      <c r="T104" s="30">
        <v>45.34316474393588</v>
      </c>
      <c r="U104" s="31">
        <v>41.47232294827068</v>
      </c>
      <c r="V104" s="31">
        <v>42.815992867476012</v>
      </c>
      <c r="W104" s="31">
        <v>47.736238875536621</v>
      </c>
      <c r="X104" s="31">
        <v>47.685226985879268</v>
      </c>
      <c r="Y104" s="31">
        <v>54.974378195964604</v>
      </c>
      <c r="Z104" s="31">
        <v>49.658640791057977</v>
      </c>
      <c r="AA104" s="31">
        <v>43.166729598551157</v>
      </c>
      <c r="AB104" s="31">
        <v>43.346318935698378</v>
      </c>
      <c r="AC104" s="32">
        <v>40.341328209866553</v>
      </c>
      <c r="AD104" s="30"/>
      <c r="AE104" s="31"/>
      <c r="AF104" s="32"/>
      <c r="AG104" s="9">
        <v>0.10834000000000001</v>
      </c>
      <c r="AH104" s="4">
        <v>0.10436692506459949</v>
      </c>
      <c r="AI104" s="23">
        <v>9.8107296651497797E-2</v>
      </c>
      <c r="AJ104" s="33">
        <v>1.1334831015264356E-2</v>
      </c>
      <c r="AK104" s="34">
        <v>-0.1697859488471046</v>
      </c>
      <c r="AL104" s="29">
        <v>9012460.5999999996</v>
      </c>
      <c r="AM104" s="24">
        <f>SUM(AL103:AL104)/SUM(AL99:AL100)-1</f>
        <v>5.6194992525171683E-2</v>
      </c>
      <c r="AN104" s="24">
        <v>9.3999999999999861E-2</v>
      </c>
    </row>
    <row r="105" spans="11:40" x14ac:dyDescent="0.25">
      <c r="L105">
        <f t="shared" si="20"/>
        <v>3</v>
      </c>
      <c r="AG105" s="9">
        <v>9.8103792415169672E-2</v>
      </c>
      <c r="AH105" s="4">
        <v>9.7711442786069649E-2</v>
      </c>
      <c r="AI105" s="23">
        <v>9.2731156498702713E-2</v>
      </c>
      <c r="AJ105" s="33">
        <v>3.6724254735990632E-3</v>
      </c>
      <c r="AK105" s="34">
        <v>0.14946411336886581</v>
      </c>
      <c r="AM105" s="24"/>
      <c r="AN105" s="24">
        <v>9.9000000000000199E-2</v>
      </c>
    </row>
    <row r="106" spans="11:40" x14ac:dyDescent="0.25">
      <c r="L106">
        <f t="shared" si="20"/>
        <v>4</v>
      </c>
      <c r="AM106" s="24"/>
    </row>
  </sheetData>
  <mergeCells count="6">
    <mergeCell ref="AJ1:AK1"/>
    <mergeCell ref="M1:P1"/>
    <mergeCell ref="Q1:S1"/>
    <mergeCell ref="T1:AC1"/>
    <mergeCell ref="AD1:AF1"/>
    <mergeCell ref="AG1:AI1"/>
  </mergeCells>
  <pageMargins left="0.7" right="0.7" top="0.75" bottom="0.75" header="0.3" footer="0.3"/>
  <ignoredErrors>
    <ignoredError sqref="P3:P6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6FB5-4380-438C-956A-AE6DD3358630}">
  <sheetPr>
    <tabColor theme="5" tint="0.79998168889431442"/>
  </sheetPr>
  <dimension ref="A1:CP107"/>
  <sheetViews>
    <sheetView showGridLines="0"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1" sqref="D11"/>
    </sheetView>
  </sheetViews>
  <sheetFormatPr defaultColWidth="8.5546875" defaultRowHeight="13.2" x14ac:dyDescent="0.25"/>
  <cols>
    <col min="1" max="1" width="5" style="22" bestFit="1" customWidth="1"/>
    <col min="2" max="2" width="2" style="22" bestFit="1" customWidth="1"/>
    <col min="3" max="3" width="8.5546875" style="105"/>
    <col min="4" max="5" width="8.5546875" style="106"/>
    <col min="6" max="6" width="8.5546875" style="110"/>
    <col min="7" max="7" width="8.5546875" style="105"/>
    <col min="8" max="9" width="8.5546875" style="106"/>
    <col min="10" max="10" width="8.5546875" style="110"/>
    <col min="11" max="11" width="8.5546875" style="105"/>
    <col min="12" max="13" width="8.5546875" style="106"/>
    <col min="14" max="14" width="8.5546875" style="110"/>
    <col min="15" max="15" width="8.5546875" style="114"/>
    <col min="16" max="16" width="8.5546875" style="59"/>
    <col min="17" max="17" width="8.5546875" style="56"/>
    <col min="18" max="29" width="8.5546875" style="55"/>
    <col min="30" max="30" width="8.5546875" style="57"/>
    <col min="31" max="31" width="8.5546875" style="56"/>
    <col min="32" max="40" width="8.5546875" style="55"/>
    <col min="41" max="41" width="8.5546875" style="57"/>
    <col min="42" max="42" width="8.5546875" style="56"/>
    <col min="43" max="48" width="8.5546875" style="55"/>
    <col min="49" max="49" width="8.5546875" style="57"/>
    <col min="50" max="16384" width="8.5546875" style="88"/>
  </cols>
  <sheetData>
    <row r="1" spans="1:94" s="86" customFormat="1" x14ac:dyDescent="0.25">
      <c r="A1" s="76"/>
      <c r="B1" s="76"/>
      <c r="C1" s="95" t="s">
        <v>129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7"/>
      <c r="Q1" s="98" t="s">
        <v>130</v>
      </c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100"/>
    </row>
    <row r="2" spans="1:94" s="77" customFormat="1" x14ac:dyDescent="0.25">
      <c r="B2" s="78"/>
      <c r="C2" s="72" t="s">
        <v>125</v>
      </c>
      <c r="D2" s="73"/>
      <c r="E2" s="73"/>
      <c r="F2" s="74"/>
      <c r="G2" s="72" t="s">
        <v>126</v>
      </c>
      <c r="H2" s="73"/>
      <c r="I2" s="73"/>
      <c r="J2" s="74"/>
      <c r="K2" s="72" t="s">
        <v>128</v>
      </c>
      <c r="L2" s="73"/>
      <c r="M2" s="73"/>
      <c r="N2" s="74"/>
      <c r="O2" s="75" t="s">
        <v>21</v>
      </c>
      <c r="P2" s="75" t="s">
        <v>24</v>
      </c>
      <c r="Q2" s="80" t="s">
        <v>43</v>
      </c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2"/>
      <c r="AE2" s="80" t="s">
        <v>44</v>
      </c>
      <c r="AF2" s="81"/>
      <c r="AG2" s="81"/>
      <c r="AH2" s="81"/>
      <c r="AI2" s="81"/>
      <c r="AJ2" s="81"/>
      <c r="AK2" s="81"/>
      <c r="AL2" s="81"/>
      <c r="AM2" s="81"/>
      <c r="AN2" s="81"/>
      <c r="AO2" s="82"/>
      <c r="AP2" s="80" t="s">
        <v>58</v>
      </c>
      <c r="AQ2" s="81"/>
      <c r="AR2" s="81"/>
      <c r="AS2" s="81"/>
      <c r="AT2" s="81"/>
      <c r="AU2" s="81"/>
      <c r="AV2" s="81"/>
      <c r="AW2" s="82"/>
    </row>
    <row r="3" spans="1:94" s="79" customFormat="1" ht="26.4" x14ac:dyDescent="0.25">
      <c r="C3" s="68" t="s">
        <v>127</v>
      </c>
      <c r="D3" s="69">
        <v>2005</v>
      </c>
      <c r="E3" s="69">
        <v>2010</v>
      </c>
      <c r="F3" s="70">
        <v>2015</v>
      </c>
      <c r="G3" s="68" t="s">
        <v>127</v>
      </c>
      <c r="H3" s="69">
        <v>2005</v>
      </c>
      <c r="I3" s="69">
        <v>2010</v>
      </c>
      <c r="J3" s="70">
        <v>2015</v>
      </c>
      <c r="K3" s="68" t="s">
        <v>127</v>
      </c>
      <c r="L3" s="69">
        <v>2005</v>
      </c>
      <c r="M3" s="69">
        <v>2010</v>
      </c>
      <c r="N3" s="70">
        <v>2015</v>
      </c>
      <c r="O3" s="71"/>
      <c r="P3" s="71"/>
      <c r="Q3" s="83" t="s">
        <v>38</v>
      </c>
      <c r="R3" s="84" t="s">
        <v>131</v>
      </c>
      <c r="S3" s="84" t="s">
        <v>132</v>
      </c>
      <c r="T3" s="84"/>
      <c r="U3" s="84" t="s">
        <v>39</v>
      </c>
      <c r="V3" s="84" t="s">
        <v>133</v>
      </c>
      <c r="W3" s="84" t="s">
        <v>134</v>
      </c>
      <c r="X3" s="84"/>
      <c r="Y3" s="84" t="s">
        <v>40</v>
      </c>
      <c r="Z3" s="84" t="s">
        <v>135</v>
      </c>
      <c r="AA3" s="84" t="s">
        <v>136</v>
      </c>
      <c r="AB3" s="84"/>
      <c r="AC3" s="84" t="s">
        <v>41</v>
      </c>
      <c r="AD3" s="85"/>
      <c r="AE3" s="83" t="s">
        <v>38</v>
      </c>
      <c r="AF3" s="84" t="s">
        <v>131</v>
      </c>
      <c r="AG3" s="84" t="s">
        <v>132</v>
      </c>
      <c r="AH3" s="84"/>
      <c r="AI3" s="84" t="s">
        <v>39</v>
      </c>
      <c r="AJ3" s="84" t="s">
        <v>133</v>
      </c>
      <c r="AK3" s="84" t="s">
        <v>134</v>
      </c>
      <c r="AL3" s="84"/>
      <c r="AM3" s="84" t="s">
        <v>40</v>
      </c>
      <c r="AN3" s="84" t="s">
        <v>135</v>
      </c>
      <c r="AO3" s="84" t="s">
        <v>136</v>
      </c>
      <c r="AP3" s="83" t="s">
        <v>38</v>
      </c>
      <c r="AQ3" s="84"/>
      <c r="AR3" s="84" t="s">
        <v>137</v>
      </c>
      <c r="AS3" s="84" t="s">
        <v>138</v>
      </c>
      <c r="AT3" s="84" t="s">
        <v>139</v>
      </c>
      <c r="AU3" s="84" t="s">
        <v>42</v>
      </c>
      <c r="AV3" s="84"/>
      <c r="AW3" s="85" t="s">
        <v>39</v>
      </c>
      <c r="AY3" s="115"/>
      <c r="AZ3" s="94" t="s">
        <v>0</v>
      </c>
      <c r="BA3" s="94" t="s">
        <v>1</v>
      </c>
      <c r="BB3" s="94" t="s">
        <v>2</v>
      </c>
    </row>
    <row r="4" spans="1:94" x14ac:dyDescent="0.25">
      <c r="A4" s="41">
        <v>2000</v>
      </c>
      <c r="B4" s="41">
        <v>1</v>
      </c>
      <c r="C4" s="101">
        <v>190998.3</v>
      </c>
      <c r="D4" s="102">
        <v>370561.1</v>
      </c>
      <c r="E4" s="102"/>
      <c r="F4" s="103"/>
      <c r="G4" s="101">
        <v>22652.1</v>
      </c>
      <c r="H4" s="102">
        <v>81903.399999999994</v>
      </c>
      <c r="I4" s="104"/>
      <c r="J4" s="103"/>
      <c r="M4" s="107"/>
      <c r="N4" s="108"/>
      <c r="O4" s="109">
        <v>808990</v>
      </c>
      <c r="P4" s="60">
        <v>5.4240000000000013</v>
      </c>
      <c r="Q4" s="61">
        <v>-4.3168028634777304E-2</v>
      </c>
      <c r="R4" s="62">
        <v>3.3250397653075602E-2</v>
      </c>
      <c r="S4" s="62">
        <v>-5.8168579461496304E-2</v>
      </c>
      <c r="T4" s="22"/>
      <c r="U4" s="106">
        <v>1439.34874373873</v>
      </c>
      <c r="V4" s="106">
        <v>1264.5089787634599</v>
      </c>
      <c r="W4" s="106">
        <v>1420.2052124849599</v>
      </c>
      <c r="X4" s="22"/>
      <c r="Y4" s="22"/>
      <c r="Z4" s="22"/>
      <c r="AA4" s="22"/>
      <c r="AB4" s="22"/>
      <c r="AC4" s="106">
        <v>1435.03194087525</v>
      </c>
      <c r="AD4" s="63"/>
      <c r="AE4" s="66">
        <v>-6.7658920259081795E-2</v>
      </c>
      <c r="AF4" s="64">
        <v>1.6872582922183899E-2</v>
      </c>
      <c r="AG4" s="64">
        <v>-8.1125145987637204E-2</v>
      </c>
      <c r="AH4" s="22"/>
      <c r="AI4" s="106">
        <v>1441.7978329011601</v>
      </c>
      <c r="AJ4" s="106">
        <v>1266.1467602365501</v>
      </c>
      <c r="AK4" s="106">
        <v>1422.5008691375699</v>
      </c>
      <c r="AL4" s="22"/>
      <c r="AM4" s="22"/>
      <c r="AN4" s="22"/>
      <c r="AO4" s="63"/>
      <c r="AP4" s="66">
        <v>-1.2313294298077E-2</v>
      </c>
      <c r="AQ4" s="22"/>
      <c r="AR4" s="22"/>
      <c r="AS4" s="22"/>
      <c r="AT4" s="22"/>
      <c r="AU4" s="22"/>
      <c r="AV4" s="22"/>
      <c r="AW4" s="110">
        <v>1436.27091397654</v>
      </c>
      <c r="AX4" s="87"/>
      <c r="AY4" s="90">
        <v>1</v>
      </c>
      <c r="AZ4" s="91" t="s">
        <v>3</v>
      </c>
      <c r="BA4" s="90" t="s">
        <v>4</v>
      </c>
      <c r="BB4" s="92" t="s">
        <v>5</v>
      </c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</row>
    <row r="5" spans="1:94" x14ac:dyDescent="0.25">
      <c r="A5" s="41"/>
      <c r="B5" s="41">
        <v>2</v>
      </c>
      <c r="C5" s="101">
        <v>340705</v>
      </c>
      <c r="D5" s="102">
        <v>607278.19999999995</v>
      </c>
      <c r="E5" s="102"/>
      <c r="F5" s="103"/>
      <c r="G5" s="101">
        <v>31140.2</v>
      </c>
      <c r="H5" s="102">
        <v>104104.3</v>
      </c>
      <c r="I5" s="102"/>
      <c r="J5" s="103"/>
      <c r="M5" s="102"/>
      <c r="N5" s="108"/>
      <c r="O5" s="109">
        <v>808990</v>
      </c>
      <c r="P5" s="60">
        <v>5.4240000000000013</v>
      </c>
      <c r="Q5" s="61">
        <v>2.9072947067279503E-2</v>
      </c>
      <c r="R5" s="62">
        <v>-1.6499975825036001E-3</v>
      </c>
      <c r="S5" s="62">
        <v>3.39002400905292E-2</v>
      </c>
      <c r="T5" s="22"/>
      <c r="U5" s="106">
        <v>1440.8883675305501</v>
      </c>
      <c r="V5" s="106">
        <v>1265.78254615114</v>
      </c>
      <c r="W5" s="106">
        <v>1421.7925165951101</v>
      </c>
      <c r="X5" s="22"/>
      <c r="Y5" s="22"/>
      <c r="Z5" s="22"/>
      <c r="AA5" s="22"/>
      <c r="AB5" s="22"/>
      <c r="AC5" s="106">
        <v>1443.7956622372801</v>
      </c>
      <c r="AD5" s="63"/>
      <c r="AE5" s="66">
        <v>2.4925093485866899E-3</v>
      </c>
      <c r="AF5" s="64">
        <v>-1.63465026608763E-2</v>
      </c>
      <c r="AG5" s="64">
        <v>7.0661324897381391E-3</v>
      </c>
      <c r="AH5" s="22"/>
      <c r="AI5" s="106">
        <v>1443.54641130242</v>
      </c>
      <c r="AJ5" s="106">
        <v>1267.25219665898</v>
      </c>
      <c r="AK5" s="106">
        <v>1424.4759273551899</v>
      </c>
      <c r="AL5" s="22"/>
      <c r="AM5" s="22"/>
      <c r="AN5" s="22"/>
      <c r="AO5" s="63"/>
      <c r="AP5" s="66">
        <v>-2.12183509338746E-3</v>
      </c>
      <c r="AQ5" s="22"/>
      <c r="AR5" s="22"/>
      <c r="AS5" s="22"/>
      <c r="AT5" s="22"/>
      <c r="AU5" s="22"/>
      <c r="AV5" s="22"/>
      <c r="AW5" s="110">
        <v>1444.0080711747601</v>
      </c>
      <c r="AX5" s="89"/>
      <c r="AY5" s="90">
        <v>2</v>
      </c>
      <c r="AZ5" s="91" t="s">
        <v>6</v>
      </c>
      <c r="BA5" s="90" t="s">
        <v>7</v>
      </c>
      <c r="BB5" s="92" t="s">
        <v>8</v>
      </c>
      <c r="BC5" s="89"/>
      <c r="BD5" s="89"/>
      <c r="BE5" s="89"/>
      <c r="BF5" s="89"/>
      <c r="BG5" s="89"/>
      <c r="BH5" s="89"/>
      <c r="BI5" s="89"/>
      <c r="BJ5" s="89"/>
      <c r="BK5" s="89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89"/>
      <c r="CC5" s="89"/>
      <c r="CD5" s="89"/>
      <c r="CE5" s="89"/>
      <c r="CF5" s="89"/>
      <c r="CG5" s="89"/>
      <c r="CH5" s="89"/>
      <c r="CI5" s="89"/>
      <c r="CJ5" s="89"/>
      <c r="CK5" s="89"/>
      <c r="CL5" s="89"/>
      <c r="CM5" s="89"/>
      <c r="CN5" s="89"/>
      <c r="CO5" s="89"/>
      <c r="CP5" s="89"/>
    </row>
    <row r="6" spans="1:94" x14ac:dyDescent="0.25">
      <c r="A6" s="41"/>
      <c r="B6" s="41">
        <v>3</v>
      </c>
      <c r="C6" s="101">
        <v>319676.79999999999</v>
      </c>
      <c r="D6" s="102">
        <v>605822.19999999995</v>
      </c>
      <c r="E6" s="102"/>
      <c r="F6" s="103"/>
      <c r="G6" s="101">
        <v>44539.6</v>
      </c>
      <c r="H6" s="102">
        <v>132635.5</v>
      </c>
      <c r="I6" s="102"/>
      <c r="J6" s="103"/>
      <c r="M6" s="102"/>
      <c r="N6" s="108"/>
      <c r="O6" s="109">
        <v>808990</v>
      </c>
      <c r="P6" s="60">
        <v>5.4240000000000013</v>
      </c>
      <c r="Q6" s="61">
        <v>4.2951620213452696E-2</v>
      </c>
      <c r="R6" s="62">
        <v>5.0704587990637699E-2</v>
      </c>
      <c r="S6" s="62">
        <v>4.6752905073371903E-2</v>
      </c>
      <c r="T6" s="22"/>
      <c r="U6" s="106">
        <v>1442.4252933205801</v>
      </c>
      <c r="V6" s="106">
        <v>1267.0581916886699</v>
      </c>
      <c r="W6" s="106">
        <v>1423.3761851690399</v>
      </c>
      <c r="X6" s="22"/>
      <c r="Y6" s="22"/>
      <c r="Z6" s="22"/>
      <c r="AA6" s="22"/>
      <c r="AB6" s="22"/>
      <c r="AC6" s="106">
        <v>1446.7204553419199</v>
      </c>
      <c r="AD6" s="63"/>
      <c r="AE6" s="66">
        <v>2.1173421957078099E-2</v>
      </c>
      <c r="AF6" s="64">
        <v>3.2833485662044602E-2</v>
      </c>
      <c r="AG6" s="64">
        <v>1.99286097377557E-2</v>
      </c>
      <c r="AH6" s="22"/>
      <c r="AI6" s="106">
        <v>1444.60311314622</v>
      </c>
      <c r="AJ6" s="106">
        <v>1268.8453019215301</v>
      </c>
      <c r="AK6" s="106">
        <v>1426.0586147025999</v>
      </c>
      <c r="AL6" s="22"/>
      <c r="AM6" s="22"/>
      <c r="AN6" s="22"/>
      <c r="AO6" s="63"/>
      <c r="AP6" s="66">
        <v>-6.6027266225244293E-3</v>
      </c>
      <c r="AQ6" s="22"/>
      <c r="AR6" s="22"/>
      <c r="AS6" s="22"/>
      <c r="AT6" s="22"/>
      <c r="AU6" s="22"/>
      <c r="AV6" s="22"/>
      <c r="AW6" s="110">
        <v>1447.3829174469699</v>
      </c>
      <c r="AX6" s="89"/>
      <c r="AY6" s="90">
        <v>3</v>
      </c>
      <c r="AZ6" s="91" t="s">
        <v>9</v>
      </c>
      <c r="BA6" s="90" t="s">
        <v>10</v>
      </c>
      <c r="BB6" s="92" t="s">
        <v>5</v>
      </c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</row>
    <row r="7" spans="1:94" x14ac:dyDescent="0.25">
      <c r="A7" s="41"/>
      <c r="B7" s="41">
        <v>4</v>
      </c>
      <c r="C7" s="101">
        <v>372682</v>
      </c>
      <c r="D7" s="102">
        <v>638028.80000000005</v>
      </c>
      <c r="E7" s="102"/>
      <c r="F7" s="103"/>
      <c r="G7" s="101">
        <v>34068.199999999997</v>
      </c>
      <c r="H7" s="102">
        <v>114466.7</v>
      </c>
      <c r="I7" s="102"/>
      <c r="J7" s="103"/>
      <c r="M7" s="102"/>
      <c r="N7" s="108"/>
      <c r="O7" s="109">
        <v>808990</v>
      </c>
      <c r="P7" s="60">
        <v>5.4240000000000013</v>
      </c>
      <c r="Q7" s="61">
        <v>5.7996278125040102E-2</v>
      </c>
      <c r="R7" s="62">
        <v>1.15588070805506E-2</v>
      </c>
      <c r="S7" s="62">
        <v>6.3574160545324498E-2</v>
      </c>
      <c r="T7" s="22"/>
      <c r="U7" s="106">
        <v>1443.95864016622</v>
      </c>
      <c r="V7" s="106">
        <v>1268.3378904010599</v>
      </c>
      <c r="W7" s="106">
        <v>1424.9547014355401</v>
      </c>
      <c r="X7" s="22"/>
      <c r="Y7" s="22"/>
      <c r="Z7" s="22"/>
      <c r="AA7" s="22"/>
      <c r="AB7" s="22"/>
      <c r="AC7" s="106">
        <v>1449.7582679787299</v>
      </c>
      <c r="AD7" s="63"/>
      <c r="AE7" s="66">
        <v>3.6156500348343001E-2</v>
      </c>
      <c r="AF7" s="64">
        <v>6.8716937181187811E-4</v>
      </c>
      <c r="AG7" s="64">
        <v>3.8817862195522898E-2</v>
      </c>
      <c r="AH7" s="22"/>
      <c r="AI7" s="106">
        <v>1446.1426179438899</v>
      </c>
      <c r="AJ7" s="106">
        <v>1269.42505417193</v>
      </c>
      <c r="AK7" s="106">
        <v>1427.4303312705199</v>
      </c>
      <c r="AL7" s="22"/>
      <c r="AM7" s="22"/>
      <c r="AN7" s="22"/>
      <c r="AO7" s="63"/>
      <c r="AP7" s="66">
        <v>-1.06510446026083E-2</v>
      </c>
      <c r="AQ7" s="22"/>
      <c r="AR7" s="22"/>
      <c r="AS7" s="22"/>
      <c r="AT7" s="22"/>
      <c r="AU7" s="22"/>
      <c r="AV7" s="22"/>
      <c r="AW7" s="110">
        <v>1450.82908527789</v>
      </c>
      <c r="AX7" s="89"/>
      <c r="AY7" s="90">
        <v>4</v>
      </c>
      <c r="AZ7" s="91" t="s">
        <v>11</v>
      </c>
      <c r="BA7" s="90" t="s">
        <v>12</v>
      </c>
      <c r="BB7" s="92" t="s">
        <v>5</v>
      </c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</row>
    <row r="8" spans="1:94" x14ac:dyDescent="0.25">
      <c r="A8" s="41">
        <f>A4+1</f>
        <v>2001</v>
      </c>
      <c r="B8" s="41">
        <f>B4</f>
        <v>1</v>
      </c>
      <c r="C8" s="101">
        <v>230638.3</v>
      </c>
      <c r="D8" s="102">
        <v>402295.8</v>
      </c>
      <c r="E8" s="102"/>
      <c r="F8" s="103"/>
      <c r="G8" s="101">
        <v>22516.1</v>
      </c>
      <c r="H8" s="102">
        <v>79408</v>
      </c>
      <c r="I8" s="102"/>
      <c r="J8" s="103"/>
      <c r="M8" s="102"/>
      <c r="N8" s="108"/>
      <c r="O8" s="109">
        <v>832311</v>
      </c>
      <c r="P8" s="58">
        <v>5.3384</v>
      </c>
      <c r="Q8" s="61">
        <v>-2.7634174033987602E-2</v>
      </c>
      <c r="R8" s="62">
        <v>-4.5412150338754599E-2</v>
      </c>
      <c r="S8" s="62">
        <v>-2.2369712062168201E-2</v>
      </c>
      <c r="T8" s="22"/>
      <c r="U8" s="106">
        <v>1445.4902116011499</v>
      </c>
      <c r="V8" s="106">
        <v>1269.62678635006</v>
      </c>
      <c r="W8" s="106">
        <v>1426.52947067998</v>
      </c>
      <c r="X8" s="22"/>
      <c r="Y8" s="64">
        <f>U8/U4-1</f>
        <v>4.2668379634440701E-3</v>
      </c>
      <c r="Z8" s="64">
        <f t="shared" ref="Z8:AA23" si="0">V8/V4-1</f>
        <v>4.0472686810058001E-3</v>
      </c>
      <c r="AA8" s="64">
        <f t="shared" si="0"/>
        <v>4.4530594166418691E-3</v>
      </c>
      <c r="AB8" s="22"/>
      <c r="AC8" s="106">
        <v>1442.72679419775</v>
      </c>
      <c r="AD8" s="65">
        <f>AC8/AC4-1</f>
        <v>5.362147770597181E-3</v>
      </c>
      <c r="AE8" s="66">
        <v>-3.3199537561094103E-2</v>
      </c>
      <c r="AF8" s="64">
        <v>-5.8276402133123399E-2</v>
      </c>
      <c r="AG8" s="64">
        <v>-2.6340879415612299E-2</v>
      </c>
      <c r="AH8" s="22"/>
      <c r="AI8" s="106">
        <v>1446.0467479538599</v>
      </c>
      <c r="AJ8" s="106">
        <v>1270.9132115294999</v>
      </c>
      <c r="AK8" s="106">
        <v>1426.92658741532</v>
      </c>
      <c r="AL8" s="22"/>
      <c r="AM8" s="64">
        <f>AI8/AI4-1</f>
        <v>2.9469561929846844E-3</v>
      </c>
      <c r="AN8" s="64">
        <f t="shared" ref="AN8:AO23" si="1">AJ8/AJ4-1</f>
        <v>3.7645330246387498E-3</v>
      </c>
      <c r="AO8" s="65">
        <f t="shared" si="1"/>
        <v>3.1112236018762118E-3</v>
      </c>
      <c r="AP8" s="66">
        <v>-2.8077278913323501E-2</v>
      </c>
      <c r="AQ8" s="22"/>
      <c r="AR8" s="64">
        <v>9.7503203587545301E-2</v>
      </c>
      <c r="AS8" s="64">
        <v>1.1585285871203199E-2</v>
      </c>
      <c r="AT8" s="64">
        <v>4.6892130419875097E-2</v>
      </c>
      <c r="AU8" s="64">
        <v>3.9025787296467003E-2</v>
      </c>
      <c r="AV8" s="67"/>
      <c r="AW8" s="110">
        <v>1445.5746924714699</v>
      </c>
      <c r="AX8" s="89"/>
      <c r="AY8" s="90">
        <v>5</v>
      </c>
      <c r="AZ8" s="91" t="s">
        <v>13</v>
      </c>
      <c r="BA8" s="90" t="s">
        <v>14</v>
      </c>
      <c r="BB8" s="92" t="s">
        <v>5</v>
      </c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</row>
    <row r="9" spans="1:94" x14ac:dyDescent="0.25">
      <c r="A9" s="41"/>
      <c r="B9" s="41">
        <f t="shared" ref="B9:B72" si="2">B5</f>
        <v>2</v>
      </c>
      <c r="C9" s="101">
        <v>381561.2</v>
      </c>
      <c r="D9" s="102">
        <v>614449.9</v>
      </c>
      <c r="E9" s="102"/>
      <c r="F9" s="103"/>
      <c r="G9" s="101">
        <v>26485.5</v>
      </c>
      <c r="H9" s="102">
        <v>111494.3</v>
      </c>
      <c r="J9" s="103"/>
      <c r="N9" s="108"/>
      <c r="O9" s="109">
        <v>832311</v>
      </c>
      <c r="P9" s="58">
        <v>5.3384</v>
      </c>
      <c r="Q9" s="61">
        <v>-2.0458766885619699E-2</v>
      </c>
      <c r="R9" s="62">
        <v>6.0475015733277302E-3</v>
      </c>
      <c r="S9" s="62">
        <v>-2.44128883703024E-2</v>
      </c>
      <c r="T9" s="22"/>
      <c r="U9" s="106">
        <v>1447.0254359263899</v>
      </c>
      <c r="V9" s="106">
        <v>1270.9307460228599</v>
      </c>
      <c r="W9" s="106">
        <v>1428.1058715727199</v>
      </c>
      <c r="X9" s="22"/>
      <c r="Y9" s="64">
        <f t="shared" ref="Y9:AA72" si="3">U9/U5-1</f>
        <v>4.2592254432296528E-3</v>
      </c>
      <c r="Z9" s="64">
        <f t="shared" si="0"/>
        <v>4.0672071892395856E-3</v>
      </c>
      <c r="AA9" s="64">
        <f t="shared" si="0"/>
        <v>4.4404193325824348E-3</v>
      </c>
      <c r="AB9" s="22"/>
      <c r="AC9" s="106">
        <v>1444.97955923783</v>
      </c>
      <c r="AD9" s="65">
        <f>AC9/AC5-1</f>
        <v>8.1998930424509453E-4</v>
      </c>
      <c r="AE9" s="66">
        <v>-2.4023245639939697E-2</v>
      </c>
      <c r="AF9" s="64">
        <v>-2.5672653130475901E-2</v>
      </c>
      <c r="AG9" s="64">
        <v>-1.9621466095043401E-2</v>
      </c>
      <c r="AH9" s="22"/>
      <c r="AI9" s="106">
        <v>1447.3818838018301</v>
      </c>
      <c r="AJ9" s="106">
        <v>1274.10276149324</v>
      </c>
      <c r="AK9" s="106">
        <v>1427.6267293451999</v>
      </c>
      <c r="AL9" s="22"/>
      <c r="AM9" s="64">
        <f t="shared" ref="AM9:AO72" si="4">AI9/AI5-1</f>
        <v>2.6569789993449167E-3</v>
      </c>
      <c r="AN9" s="64">
        <f t="shared" si="1"/>
        <v>5.4058417514060153E-3</v>
      </c>
      <c r="AO9" s="65">
        <f t="shared" si="1"/>
        <v>2.2119025878239995E-3</v>
      </c>
      <c r="AP9" s="66">
        <v>-3.36910603837213E-2</v>
      </c>
      <c r="AQ9" s="22"/>
      <c r="AR9" s="64">
        <v>4.4968313829011099E-2</v>
      </c>
      <c r="AS9" s="64">
        <v>1.1461203468876101E-2</v>
      </c>
      <c r="AT9" s="64">
        <v>-3.02494770790341E-3</v>
      </c>
      <c r="AU9" s="64">
        <v>3.6532058068038401E-2</v>
      </c>
      <c r="AV9" s="67"/>
      <c r="AW9" s="110">
        <v>1448.40672750099</v>
      </c>
      <c r="AY9" s="90">
        <v>6</v>
      </c>
      <c r="AZ9" s="91" t="s">
        <v>15</v>
      </c>
      <c r="BA9" s="90" t="s">
        <v>16</v>
      </c>
      <c r="BB9" s="92" t="s">
        <v>5</v>
      </c>
    </row>
    <row r="10" spans="1:94" x14ac:dyDescent="0.25">
      <c r="A10" s="41"/>
      <c r="B10" s="41">
        <f t="shared" si="2"/>
        <v>3</v>
      </c>
      <c r="C10" s="101">
        <v>366390.7</v>
      </c>
      <c r="D10" s="102">
        <v>622698.19999999995</v>
      </c>
      <c r="E10" s="102"/>
      <c r="F10" s="103"/>
      <c r="G10" s="101">
        <v>38083</v>
      </c>
      <c r="H10" s="102">
        <v>151174.39999999999</v>
      </c>
      <c r="J10" s="103"/>
      <c r="O10" s="109">
        <v>832311</v>
      </c>
      <c r="P10" s="58">
        <v>5.3384</v>
      </c>
      <c r="Q10" s="61">
        <v>1.0603195961209599E-2</v>
      </c>
      <c r="R10" s="62">
        <v>0.130979437738731</v>
      </c>
      <c r="S10" s="62">
        <v>-1.8368494220451299E-2</v>
      </c>
      <c r="T10" s="22"/>
      <c r="U10" s="106">
        <v>1448.5680143071399</v>
      </c>
      <c r="V10" s="106">
        <v>1272.25279764727</v>
      </c>
      <c r="W10" s="106">
        <v>1429.6878846771699</v>
      </c>
      <c r="X10" s="22"/>
      <c r="Y10" s="64">
        <f t="shared" si="3"/>
        <v>4.2586059846598801E-3</v>
      </c>
      <c r="Z10" s="64">
        <f t="shared" si="0"/>
        <v>4.0997374806257536E-3</v>
      </c>
      <c r="AA10" s="64">
        <f t="shared" si="0"/>
        <v>4.4343158006261429E-3</v>
      </c>
      <c r="AB10" s="22"/>
      <c r="AC10" s="106">
        <v>1449.62833390326</v>
      </c>
      <c r="AD10" s="65">
        <f t="shared" ref="AD10:AD73" si="5">AC10/AC6-1</f>
        <v>2.0099795717984925E-3</v>
      </c>
      <c r="AE10" s="66">
        <v>2.6594862402889402E-3</v>
      </c>
      <c r="AF10" s="64">
        <v>7.2586323632090707E-2</v>
      </c>
      <c r="AG10" s="64">
        <v>-1.38569879496285E-2</v>
      </c>
      <c r="AH10" s="22"/>
      <c r="AI10" s="106">
        <v>1449.36238527923</v>
      </c>
      <c r="AJ10" s="106">
        <v>1278.09210905794</v>
      </c>
      <c r="AK10" s="106">
        <v>1429.23673405009</v>
      </c>
      <c r="AL10" s="22"/>
      <c r="AM10" s="64">
        <f t="shared" si="4"/>
        <v>3.2945188126063396E-3</v>
      </c>
      <c r="AN10" s="64">
        <f t="shared" si="1"/>
        <v>7.2875764464008785E-3</v>
      </c>
      <c r="AO10" s="65">
        <f t="shared" si="1"/>
        <v>2.2286035894485412E-3</v>
      </c>
      <c r="AP10" s="66">
        <v>-3.3201674392550798E-2</v>
      </c>
      <c r="AQ10" s="22"/>
      <c r="AR10" s="64">
        <v>5.78298800550614E-2</v>
      </c>
      <c r="AS10" s="64">
        <v>1.13397805259781E-2</v>
      </c>
      <c r="AT10" s="64">
        <v>9.8774634132951702E-3</v>
      </c>
      <c r="AU10" s="64">
        <v>3.6612636115788105E-2</v>
      </c>
      <c r="AV10" s="67"/>
      <c r="AW10" s="110">
        <v>1453.0048701078299</v>
      </c>
      <c r="AY10" s="90">
        <v>7</v>
      </c>
      <c r="AZ10" s="91" t="s">
        <v>17</v>
      </c>
      <c r="BA10" s="90" t="s">
        <v>18</v>
      </c>
      <c r="BB10" s="92" t="s">
        <v>5</v>
      </c>
    </row>
    <row r="11" spans="1:94" x14ac:dyDescent="0.25">
      <c r="A11" s="41"/>
      <c r="B11" s="41">
        <f t="shared" si="2"/>
        <v>4</v>
      </c>
      <c r="C11" s="101">
        <v>413287.9</v>
      </c>
      <c r="D11" s="102">
        <v>647846.40000000002</v>
      </c>
      <c r="E11" s="102"/>
      <c r="F11" s="103"/>
      <c r="G11" s="101">
        <v>29991.5</v>
      </c>
      <c r="H11" s="102">
        <v>127698.8</v>
      </c>
      <c r="J11" s="103"/>
      <c r="O11" s="109">
        <v>832311</v>
      </c>
      <c r="P11" s="58">
        <v>5.3384</v>
      </c>
      <c r="Q11" s="61">
        <v>1.4475606481364501E-2</v>
      </c>
      <c r="R11" s="62">
        <v>7.7652443074450697E-2</v>
      </c>
      <c r="S11" s="62">
        <v>-1.47128774365E-3</v>
      </c>
      <c r="T11" s="22"/>
      <c r="U11" s="106">
        <v>1450.12036923562</v>
      </c>
      <c r="V11" s="106">
        <v>1273.59634741993</v>
      </c>
      <c r="W11" s="106">
        <v>1431.27796475119</v>
      </c>
      <c r="X11" s="22"/>
      <c r="Y11" s="64">
        <f t="shared" si="3"/>
        <v>4.2672476191498721E-3</v>
      </c>
      <c r="Z11" s="64">
        <f t="shared" si="0"/>
        <v>4.1459433315576E-3</v>
      </c>
      <c r="AA11" s="64">
        <f t="shared" si="0"/>
        <v>4.4375188272860466E-3</v>
      </c>
      <c r="AB11" s="22"/>
      <c r="AC11" s="106">
        <v>1451.5679298837599</v>
      </c>
      <c r="AD11" s="65">
        <f t="shared" si="5"/>
        <v>1.248250791183958E-3</v>
      </c>
      <c r="AE11" s="66">
        <v>7.1222846693631799E-3</v>
      </c>
      <c r="AF11" s="64">
        <v>3.0226244938369101E-2</v>
      </c>
      <c r="AG11" s="64">
        <v>-2.6093309669375903E-3</v>
      </c>
      <c r="AH11" s="22"/>
      <c r="AI11" s="106">
        <v>1450.85570141682</v>
      </c>
      <c r="AJ11" s="106">
        <v>1278.33896723354</v>
      </c>
      <c r="AK11" s="106">
        <v>1431.39176907352</v>
      </c>
      <c r="AL11" s="22"/>
      <c r="AM11" s="64">
        <f t="shared" si="4"/>
        <v>3.2590723863950011E-3</v>
      </c>
      <c r="AN11" s="64">
        <f t="shared" si="1"/>
        <v>7.0220081384990696E-3</v>
      </c>
      <c r="AO11" s="65">
        <f t="shared" si="1"/>
        <v>2.7752232219095951E-3</v>
      </c>
      <c r="AP11" s="66">
        <v>-3.9135386356909399E-2</v>
      </c>
      <c r="AQ11" s="22"/>
      <c r="AR11" s="64">
        <v>4.8447193983471998E-2</v>
      </c>
      <c r="AS11" s="64">
        <v>1.1216152672366E-2</v>
      </c>
      <c r="AT11" s="64">
        <v>1.6326293119974999E-3</v>
      </c>
      <c r="AU11" s="64">
        <v>3.5598411999108501E-2</v>
      </c>
      <c r="AV11" s="67"/>
      <c r="AW11" s="110">
        <v>1455.5601059478399</v>
      </c>
      <c r="AY11" s="90">
        <v>8</v>
      </c>
      <c r="AZ11" s="91" t="s">
        <v>19</v>
      </c>
      <c r="BA11" s="90" t="s">
        <v>20</v>
      </c>
      <c r="BB11" s="92" t="s">
        <v>5</v>
      </c>
    </row>
    <row r="12" spans="1:94" x14ac:dyDescent="0.25">
      <c r="A12" s="41">
        <f t="shared" ref="A12" si="6">A8+1</f>
        <v>2002</v>
      </c>
      <c r="B12" s="41">
        <f t="shared" si="2"/>
        <v>1</v>
      </c>
      <c r="C12" s="101">
        <v>275719.5</v>
      </c>
      <c r="D12" s="102">
        <v>472446.5</v>
      </c>
      <c r="E12" s="102"/>
      <c r="F12" s="103"/>
      <c r="G12" s="101">
        <v>23550.7</v>
      </c>
      <c r="H12" s="102">
        <v>92644.9</v>
      </c>
      <c r="J12" s="103"/>
      <c r="O12" s="109">
        <v>870781</v>
      </c>
      <c r="P12" s="58">
        <v>5.1147999999999998</v>
      </c>
      <c r="Q12" s="61">
        <v>6.4479724458124096E-2</v>
      </c>
      <c r="R12" s="62">
        <v>4.9886397130392196E-2</v>
      </c>
      <c r="S12" s="62">
        <v>6.7392017404192706E-2</v>
      </c>
      <c r="T12" s="22"/>
      <c r="U12" s="106">
        <v>1451.6855859038301</v>
      </c>
      <c r="V12" s="106">
        <v>1274.97298775235</v>
      </c>
      <c r="W12" s="106">
        <v>1432.8774185217401</v>
      </c>
      <c r="X12" s="22"/>
      <c r="Y12" s="64">
        <f t="shared" si="3"/>
        <v>4.2860022523554253E-3</v>
      </c>
      <c r="Z12" s="64">
        <f t="shared" si="0"/>
        <v>4.2108448402065068E-3</v>
      </c>
      <c r="AA12" s="64">
        <f t="shared" si="0"/>
        <v>4.4499240795454753E-3</v>
      </c>
      <c r="AB12" s="22"/>
      <c r="AC12" s="106">
        <v>1458.13355834964</v>
      </c>
      <c r="AD12" s="65">
        <f t="shared" si="5"/>
        <v>1.0678920093431188E-2</v>
      </c>
      <c r="AE12" s="66">
        <v>5.4440010212193302E-2</v>
      </c>
      <c r="AF12" s="64">
        <v>3.3949384138899801E-2</v>
      </c>
      <c r="AG12" s="64">
        <v>5.7441504555120607E-2</v>
      </c>
      <c r="AH12" s="22"/>
      <c r="AI12" s="106">
        <v>1452.6895573284201</v>
      </c>
      <c r="AJ12" s="106">
        <v>1276.5666890514999</v>
      </c>
      <c r="AK12" s="106">
        <v>1433.8724698066401</v>
      </c>
      <c r="AL12" s="22"/>
      <c r="AM12" s="64">
        <f t="shared" si="4"/>
        <v>4.5937722165341199E-3</v>
      </c>
      <c r="AN12" s="64">
        <f t="shared" si="1"/>
        <v>4.4483584486436634E-3</v>
      </c>
      <c r="AO12" s="65">
        <f t="shared" si="1"/>
        <v>4.8677223149240501E-3</v>
      </c>
      <c r="AP12" s="66">
        <v>-2.0797447431684601E-3</v>
      </c>
      <c r="AQ12" s="22"/>
      <c r="AR12" s="64">
        <v>0.136178648794193</v>
      </c>
      <c r="AS12" s="64">
        <v>1.1083216498066499E-2</v>
      </c>
      <c r="AT12" s="64">
        <v>8.7692290902721903E-2</v>
      </c>
      <c r="AU12" s="64">
        <v>3.7403141393405101E-2</v>
      </c>
      <c r="AV12" s="67"/>
      <c r="AW12" s="110">
        <v>1458.34174939119</v>
      </c>
      <c r="AY12" s="90">
        <v>9</v>
      </c>
      <c r="AZ12" s="91" t="s">
        <v>21</v>
      </c>
      <c r="BA12" s="90" t="s">
        <v>22</v>
      </c>
      <c r="BB12" s="92" t="s">
        <v>23</v>
      </c>
    </row>
    <row r="13" spans="1:94" x14ac:dyDescent="0.25">
      <c r="A13" s="41"/>
      <c r="B13" s="41">
        <f t="shared" si="2"/>
        <v>2</v>
      </c>
      <c r="C13" s="101">
        <v>425193.8</v>
      </c>
      <c r="D13" s="102">
        <v>645220.69999999995</v>
      </c>
      <c r="E13" s="102"/>
      <c r="F13" s="103"/>
      <c r="G13" s="101">
        <v>37980.699999999997</v>
      </c>
      <c r="H13" s="102">
        <v>113982.8</v>
      </c>
      <c r="J13" s="103"/>
      <c r="O13" s="109">
        <v>870781</v>
      </c>
      <c r="P13" s="58">
        <v>5.1147999999999998</v>
      </c>
      <c r="Q13" s="61">
        <v>-3.6089433708204902E-2</v>
      </c>
      <c r="R13" s="62">
        <v>-3.9729498682220303E-2</v>
      </c>
      <c r="S13" s="62">
        <v>-3.1550273206012197E-2</v>
      </c>
      <c r="T13" s="22"/>
      <c r="U13" s="106">
        <v>1453.2676542291499</v>
      </c>
      <c r="V13" s="106">
        <v>1276.3991643337199</v>
      </c>
      <c r="W13" s="106">
        <v>1434.4874607603099</v>
      </c>
      <c r="X13" s="22"/>
      <c r="Y13" s="64">
        <f t="shared" si="3"/>
        <v>4.3138276271996734E-3</v>
      </c>
      <c r="Z13" s="64">
        <f t="shared" si="0"/>
        <v>4.3026878749863329E-3</v>
      </c>
      <c r="AA13" s="64">
        <f t="shared" si="0"/>
        <v>4.4685686927132817E-3</v>
      </c>
      <c r="AB13" s="22"/>
      <c r="AC13" s="106">
        <v>1449.6587108583301</v>
      </c>
      <c r="AD13" s="65">
        <f t="shared" si="5"/>
        <v>3.2382130187142977E-3</v>
      </c>
      <c r="AE13" s="66">
        <v>-2.38607625392806E-2</v>
      </c>
      <c r="AF13" s="64">
        <v>-1.00354977557582E-2</v>
      </c>
      <c r="AG13" s="64">
        <v>-2.4537529508462698E-2</v>
      </c>
      <c r="AH13" s="22"/>
      <c r="AI13" s="106">
        <v>1452.0447871122601</v>
      </c>
      <c r="AJ13" s="106">
        <v>1273.42976424108</v>
      </c>
      <c r="AK13" s="106">
        <v>1433.78618639056</v>
      </c>
      <c r="AL13" s="22"/>
      <c r="AM13" s="64">
        <f t="shared" si="4"/>
        <v>3.2216123212638337E-3</v>
      </c>
      <c r="AN13" s="64">
        <f t="shared" si="1"/>
        <v>-5.2821269406189142E-4</v>
      </c>
      <c r="AO13" s="65">
        <f t="shared" si="1"/>
        <v>4.3144730472965964E-3</v>
      </c>
      <c r="AP13" s="66">
        <v>-3.3474184350356803E-2</v>
      </c>
      <c r="AQ13" s="22"/>
      <c r="AR13" s="64">
        <v>4.7668379254024E-2</v>
      </c>
      <c r="AS13" s="64">
        <v>1.09317361736156E-2</v>
      </c>
      <c r="AT13" s="64">
        <v>2.9888339077103199E-3</v>
      </c>
      <c r="AU13" s="64">
        <v>3.3747809172697998E-2</v>
      </c>
      <c r="AV13" s="67"/>
      <c r="AW13" s="110">
        <v>1453.06343788241</v>
      </c>
      <c r="AY13" s="90">
        <v>10</v>
      </c>
      <c r="AZ13" s="91" t="s">
        <v>24</v>
      </c>
      <c r="BA13" s="90" t="s">
        <v>25</v>
      </c>
      <c r="BB13" s="93" t="s">
        <v>26</v>
      </c>
    </row>
    <row r="14" spans="1:94" x14ac:dyDescent="0.25">
      <c r="A14" s="41"/>
      <c r="B14" s="41">
        <f t="shared" si="2"/>
        <v>3</v>
      </c>
      <c r="C14" s="101">
        <v>401063.5</v>
      </c>
      <c r="D14" s="102">
        <v>618174.4</v>
      </c>
      <c r="E14" s="102"/>
      <c r="F14" s="103"/>
      <c r="G14" s="101">
        <v>45167.5</v>
      </c>
      <c r="H14" s="102">
        <v>115071.3</v>
      </c>
      <c r="J14" s="103"/>
      <c r="O14" s="109">
        <v>870781</v>
      </c>
      <c r="P14" s="58">
        <v>5.1147999999999998</v>
      </c>
      <c r="Q14" s="61">
        <v>-5.6408329213140797E-2</v>
      </c>
      <c r="R14" s="62">
        <v>-0.19520655486819799</v>
      </c>
      <c r="S14" s="62">
        <v>-2.5486907463393802E-2</v>
      </c>
      <c r="T14" s="22"/>
      <c r="U14" s="106">
        <v>1454.87459411176</v>
      </c>
      <c r="V14" s="106">
        <v>1277.8944407530701</v>
      </c>
      <c r="W14" s="106">
        <v>1436.1135182394901</v>
      </c>
      <c r="X14" s="22"/>
      <c r="Y14" s="64">
        <f t="shared" si="3"/>
        <v>4.3536649590019127E-3</v>
      </c>
      <c r="Z14" s="64">
        <f t="shared" si="0"/>
        <v>4.4343727254778642E-3</v>
      </c>
      <c r="AA14" s="64">
        <f t="shared" si="0"/>
        <v>4.494431009164801E-3</v>
      </c>
      <c r="AB14" s="22"/>
      <c r="AC14" s="106">
        <v>1449.23376119045</v>
      </c>
      <c r="AD14" s="65">
        <f t="shared" si="5"/>
        <v>-2.7218888013014197E-4</v>
      </c>
      <c r="AE14" s="66">
        <v>-3.42297161889221E-2</v>
      </c>
      <c r="AF14" s="64">
        <v>-0.115244186842016</v>
      </c>
      <c r="AG14" s="64">
        <v>-1.3805660380806E-2</v>
      </c>
      <c r="AH14" s="22"/>
      <c r="AI14" s="106">
        <v>1452.6567328093399</v>
      </c>
      <c r="AJ14" s="106">
        <v>1269.8982039504599</v>
      </c>
      <c r="AK14" s="106">
        <v>1434.9453935312299</v>
      </c>
      <c r="AL14" s="22"/>
      <c r="AM14" s="64">
        <f t="shared" si="4"/>
        <v>2.2729633137783534E-3</v>
      </c>
      <c r="AN14" s="64">
        <f t="shared" si="1"/>
        <v>-6.4110442818707813E-3</v>
      </c>
      <c r="AO14" s="65">
        <f t="shared" si="1"/>
        <v>3.9942014819076554E-3</v>
      </c>
      <c r="AP14" s="66">
        <v>-4.3963355172518502E-2</v>
      </c>
      <c r="AQ14" s="22"/>
      <c r="AR14" s="64">
        <v>7.2742760175159502E-3</v>
      </c>
      <c r="AS14" s="64">
        <v>1.0753398573243599E-2</v>
      </c>
      <c r="AT14" s="64">
        <v>-3.4015373931953002E-2</v>
      </c>
      <c r="AU14" s="64">
        <v>3.0536251376225301E-2</v>
      </c>
      <c r="AV14" s="67"/>
      <c r="AW14" s="110">
        <v>1453.7296647160399</v>
      </c>
      <c r="AY14" s="90">
        <v>11</v>
      </c>
      <c r="AZ14" s="91" t="s">
        <v>27</v>
      </c>
      <c r="BA14" s="90" t="s">
        <v>28</v>
      </c>
      <c r="BB14" s="92" t="s">
        <v>29</v>
      </c>
    </row>
    <row r="15" spans="1:94" x14ac:dyDescent="0.25">
      <c r="A15" s="41"/>
      <c r="B15" s="41">
        <f t="shared" si="2"/>
        <v>4</v>
      </c>
      <c r="C15" s="101">
        <v>448633.1</v>
      </c>
      <c r="D15" s="102">
        <v>659705.69999999995</v>
      </c>
      <c r="E15" s="102"/>
      <c r="F15" s="103"/>
      <c r="G15" s="101">
        <v>38054.800000000003</v>
      </c>
      <c r="H15" s="102">
        <v>121402.6</v>
      </c>
      <c r="J15" s="103"/>
      <c r="O15" s="109">
        <v>870781</v>
      </c>
      <c r="P15" s="58">
        <v>5.1147999999999998</v>
      </c>
      <c r="Q15" s="61">
        <v>-2.8394728694834101E-2</v>
      </c>
      <c r="R15" s="62">
        <v>-1.6331785402212501E-2</v>
      </c>
      <c r="S15" s="62">
        <v>-3.2139992168497403E-2</v>
      </c>
      <c r="T15" s="22"/>
      <c r="U15" s="106">
        <v>1456.5121698622299</v>
      </c>
      <c r="V15" s="106">
        <v>1279.47589750575</v>
      </c>
      <c r="W15" s="106">
        <v>1437.7590458397699</v>
      </c>
      <c r="X15" s="22"/>
      <c r="Y15" s="64">
        <f t="shared" si="3"/>
        <v>4.4077724595918966E-3</v>
      </c>
      <c r="Z15" s="64">
        <f t="shared" si="0"/>
        <v>4.61649414881804E-3</v>
      </c>
      <c r="AA15" s="64">
        <f t="shared" si="0"/>
        <v>4.5281777880976648E-3</v>
      </c>
      <c r="AB15" s="22"/>
      <c r="AC15" s="106">
        <v>1453.6726969927399</v>
      </c>
      <c r="AD15" s="65">
        <f t="shared" si="5"/>
        <v>1.449995598310494E-3</v>
      </c>
      <c r="AE15" s="66">
        <v>-4.3128639288061302E-3</v>
      </c>
      <c r="AF15" s="64">
        <v>6.6023768951118708E-2</v>
      </c>
      <c r="AG15" s="64">
        <v>-1.9057535213203702E-2</v>
      </c>
      <c r="AH15" s="22"/>
      <c r="AI15" s="106">
        <v>1454.10398338562</v>
      </c>
      <c r="AJ15" s="106">
        <v>1271.24034207042</v>
      </c>
      <c r="AK15" s="106">
        <v>1436.45080014424</v>
      </c>
      <c r="AL15" s="22"/>
      <c r="AM15" s="64">
        <f t="shared" si="4"/>
        <v>2.2388732150466772E-3</v>
      </c>
      <c r="AN15" s="64">
        <f t="shared" si="1"/>
        <v>-5.5530069450062669E-3</v>
      </c>
      <c r="AO15" s="65">
        <f t="shared" si="1"/>
        <v>3.534344111811194E-3</v>
      </c>
      <c r="AP15" s="66">
        <v>-4.1916400507981504E-2</v>
      </c>
      <c r="AQ15" s="22"/>
      <c r="AR15" s="64">
        <v>2.4235162020312E-2</v>
      </c>
      <c r="AS15" s="64">
        <v>1.0540765114247098E-2</v>
      </c>
      <c r="AT15" s="64">
        <v>-1.60215250049205E-2</v>
      </c>
      <c r="AU15" s="64">
        <v>2.9715921910985398E-2</v>
      </c>
      <c r="AV15" s="67"/>
      <c r="AW15" s="110">
        <v>1457.9547210140599</v>
      </c>
      <c r="AY15" s="90">
        <v>12</v>
      </c>
      <c r="AZ15" s="91" t="s">
        <v>30</v>
      </c>
      <c r="BA15" s="90" t="s">
        <v>31</v>
      </c>
      <c r="BB15" s="92" t="s">
        <v>32</v>
      </c>
    </row>
    <row r="16" spans="1:94" x14ac:dyDescent="0.25">
      <c r="A16" s="41">
        <f t="shared" ref="A16" si="7">A12+1</f>
        <v>2003</v>
      </c>
      <c r="B16" s="41">
        <f t="shared" si="2"/>
        <v>1</v>
      </c>
      <c r="C16" s="101">
        <v>318811.3</v>
      </c>
      <c r="D16" s="102">
        <v>469885.6</v>
      </c>
      <c r="E16" s="102"/>
      <c r="F16" s="103"/>
      <c r="G16" s="101">
        <v>30207.5</v>
      </c>
      <c r="H16" s="102">
        <v>88657.8</v>
      </c>
      <c r="J16" s="103"/>
      <c r="O16" s="109">
        <v>926538</v>
      </c>
      <c r="P16" s="58">
        <v>4.7862999999999998</v>
      </c>
      <c r="Q16" s="61">
        <v>-9.6907575323621105E-3</v>
      </c>
      <c r="R16" s="62">
        <v>-7.078874614907131E-2</v>
      </c>
      <c r="S16" s="62">
        <v>2.0677247257299301E-3</v>
      </c>
      <c r="T16" s="22"/>
      <c r="U16" s="106">
        <v>1458.1826202705299</v>
      </c>
      <c r="V16" s="106">
        <v>1281.1484146774301</v>
      </c>
      <c r="W16" s="106">
        <v>1439.4259055099401</v>
      </c>
      <c r="X16" s="22"/>
      <c r="Y16" s="64">
        <f t="shared" si="3"/>
        <v>4.4755106958334068E-3</v>
      </c>
      <c r="Z16" s="64">
        <f t="shared" si="0"/>
        <v>4.8435747144468522E-3</v>
      </c>
      <c r="AA16" s="64">
        <f t="shared" si="0"/>
        <v>4.5701655309466904E-3</v>
      </c>
      <c r="AB16" s="22"/>
      <c r="AC16" s="106">
        <v>1457.2135445173001</v>
      </c>
      <c r="AD16" s="65">
        <f t="shared" si="5"/>
        <v>-6.3095306124172357E-4</v>
      </c>
      <c r="AE16" s="66">
        <v>1.0961346561582E-2</v>
      </c>
      <c r="AF16" s="64">
        <v>3.4828535905904602E-2</v>
      </c>
      <c r="AG16" s="64">
        <v>5.1677518447881196E-3</v>
      </c>
      <c r="AH16" s="22"/>
      <c r="AI16" s="106">
        <v>1456.11740986114</v>
      </c>
      <c r="AJ16" s="106">
        <v>1270.5866864719301</v>
      </c>
      <c r="AK16" s="106">
        <v>1439.11590279803</v>
      </c>
      <c r="AL16" s="22"/>
      <c r="AM16" s="64">
        <f t="shared" si="4"/>
        <v>2.359659374866041E-3</v>
      </c>
      <c r="AN16" s="64">
        <f t="shared" si="1"/>
        <v>-4.6844419730339704E-3</v>
      </c>
      <c r="AO16" s="65">
        <f t="shared" si="1"/>
        <v>3.6568335760689408E-3</v>
      </c>
      <c r="AP16" s="66">
        <v>7.3038073277510891E-3</v>
      </c>
      <c r="AQ16" s="22"/>
      <c r="AR16" s="64">
        <v>-1.83881489230086E-2</v>
      </c>
      <c r="AS16" s="64">
        <v>1.02872614723054E-2</v>
      </c>
      <c r="AT16" s="64">
        <v>-5.4232393494579999E-2</v>
      </c>
      <c r="AU16" s="64">
        <v>2.5556983099265903E-2</v>
      </c>
      <c r="AV16" s="67"/>
      <c r="AW16" s="110">
        <v>1456.48581814779</v>
      </c>
      <c r="AY16" s="90">
        <v>13</v>
      </c>
      <c r="AZ16" s="91" t="s">
        <v>33</v>
      </c>
      <c r="BA16" s="90" t="s">
        <v>34</v>
      </c>
      <c r="BB16" s="92" t="s">
        <v>35</v>
      </c>
    </row>
    <row r="17" spans="1:54" x14ac:dyDescent="0.25">
      <c r="A17" s="41"/>
      <c r="B17" s="41">
        <f t="shared" si="2"/>
        <v>2</v>
      </c>
      <c r="C17" s="101">
        <v>504294.2</v>
      </c>
      <c r="D17" s="102">
        <v>709305.3</v>
      </c>
      <c r="E17" s="102"/>
      <c r="F17" s="103"/>
      <c r="G17" s="101">
        <v>50298.9</v>
      </c>
      <c r="H17" s="102">
        <v>107921.3</v>
      </c>
      <c r="J17" s="103"/>
      <c r="O17" s="109">
        <v>926538</v>
      </c>
      <c r="P17" s="58">
        <v>4.7862999999999998</v>
      </c>
      <c r="Q17" s="61">
        <v>-1.1437365491506099E-2</v>
      </c>
      <c r="R17" s="62">
        <v>-0.17707112288398499</v>
      </c>
      <c r="S17" s="62">
        <v>1.9281815780134298E-2</v>
      </c>
      <c r="T17" s="22"/>
      <c r="U17" s="106">
        <v>1459.88640945612</v>
      </c>
      <c r="V17" s="106">
        <v>1282.9158516171899</v>
      </c>
      <c r="W17" s="106">
        <v>1441.1139504492701</v>
      </c>
      <c r="X17" s="22"/>
      <c r="Y17" s="64">
        <f t="shared" si="3"/>
        <v>4.5543951987845332E-3</v>
      </c>
      <c r="Z17" s="64">
        <f t="shared" si="0"/>
        <v>5.1055245612541267E-3</v>
      </c>
      <c r="AA17" s="64">
        <f t="shared" si="0"/>
        <v>4.6194127660397211E-3</v>
      </c>
      <c r="AB17" s="22"/>
      <c r="AC17" s="106">
        <v>1458.74267290697</v>
      </c>
      <c r="AD17" s="65">
        <f t="shared" si="5"/>
        <v>6.2662763177281366E-3</v>
      </c>
      <c r="AE17" s="66">
        <v>6.5815535253920098E-3</v>
      </c>
      <c r="AF17" s="64">
        <v>-5.1245290012033901E-2</v>
      </c>
      <c r="AG17" s="64">
        <v>1.5160486502251699E-2</v>
      </c>
      <c r="AH17" s="22"/>
      <c r="AI17" s="106">
        <v>1458.08451755444</v>
      </c>
      <c r="AJ17" s="106">
        <v>1270.33326832999</v>
      </c>
      <c r="AK17" s="106">
        <v>1441.5260833770601</v>
      </c>
      <c r="AL17" s="22"/>
      <c r="AM17" s="64">
        <f t="shared" si="4"/>
        <v>4.1594656692314214E-3</v>
      </c>
      <c r="AN17" s="64">
        <f t="shared" si="1"/>
        <v>-2.4316189224109497E-3</v>
      </c>
      <c r="AO17" s="65">
        <f t="shared" si="1"/>
        <v>5.3982225941127115E-3</v>
      </c>
      <c r="AP17" s="66">
        <v>3.76691103031192E-3</v>
      </c>
      <c r="AQ17" s="22"/>
      <c r="AR17" s="64">
        <v>5.4463931783033298E-2</v>
      </c>
      <c r="AS17" s="64">
        <v>9.9872058590845907E-3</v>
      </c>
      <c r="AT17" s="64">
        <v>1.8446622984248401E-2</v>
      </c>
      <c r="AU17" s="64">
        <v>2.60301029397003E-2</v>
      </c>
      <c r="AV17" s="67"/>
      <c r="AW17" s="110">
        <v>1458.3666895081999</v>
      </c>
      <c r="AY17" s="90">
        <v>14</v>
      </c>
      <c r="AZ17" s="91" t="s">
        <v>36</v>
      </c>
      <c r="BA17" s="90" t="s">
        <v>37</v>
      </c>
      <c r="BB17" s="92" t="s">
        <v>35</v>
      </c>
    </row>
    <row r="18" spans="1:54" x14ac:dyDescent="0.25">
      <c r="A18" s="41"/>
      <c r="B18" s="41">
        <f t="shared" si="2"/>
        <v>3</v>
      </c>
      <c r="C18" s="101">
        <v>502933.2</v>
      </c>
      <c r="D18" s="102">
        <v>688244.9</v>
      </c>
      <c r="E18" s="102"/>
      <c r="F18" s="103"/>
      <c r="G18" s="101">
        <v>65055.6</v>
      </c>
      <c r="H18" s="102">
        <v>126656.9</v>
      </c>
      <c r="J18" s="103"/>
      <c r="O18" s="109">
        <v>926538</v>
      </c>
      <c r="P18" s="58">
        <v>4.7862999999999998</v>
      </c>
      <c r="Q18" s="61">
        <v>-1.27937889104555E-2</v>
      </c>
      <c r="R18" s="62">
        <v>-0.15210686639433099</v>
      </c>
      <c r="S18" s="62">
        <v>2.18348582753242E-2</v>
      </c>
      <c r="T18" s="22"/>
      <c r="U18" s="106">
        <v>1461.6233958661101</v>
      </c>
      <c r="V18" s="106">
        <v>1284.77764337748</v>
      </c>
      <c r="W18" s="106">
        <v>1442.8231630898499</v>
      </c>
      <c r="X18" s="22"/>
      <c r="Y18" s="64">
        <f t="shared" si="3"/>
        <v>4.6387515334065377E-3</v>
      </c>
      <c r="Z18" s="64">
        <f t="shared" si="0"/>
        <v>5.3863624450496417E-3</v>
      </c>
      <c r="AA18" s="64">
        <f t="shared" si="0"/>
        <v>4.6720852948902714E-3</v>
      </c>
      <c r="AB18" s="22"/>
      <c r="AC18" s="106">
        <v>1460.34401697506</v>
      </c>
      <c r="AD18" s="65">
        <f t="shared" si="5"/>
        <v>7.6662965507259262E-3</v>
      </c>
      <c r="AE18" s="66">
        <v>8.2667089892452005E-4</v>
      </c>
      <c r="AF18" s="64">
        <v>-2.9504615372550301E-2</v>
      </c>
      <c r="AG18" s="64">
        <v>1.4470450288944701E-2</v>
      </c>
      <c r="AH18" s="22"/>
      <c r="AI18" s="106">
        <v>1460.2613498851699</v>
      </c>
      <c r="AJ18" s="106">
        <v>1272.5174182753001</v>
      </c>
      <c r="AK18" s="106">
        <v>1443.5596038884801</v>
      </c>
      <c r="AL18" s="22"/>
      <c r="AM18" s="64">
        <f t="shared" si="4"/>
        <v>5.2349718306285986E-3</v>
      </c>
      <c r="AN18" s="64">
        <f t="shared" si="1"/>
        <v>2.0625388056241256E-3</v>
      </c>
      <c r="AO18" s="65">
        <f t="shared" si="1"/>
        <v>6.0031624869372191E-3</v>
      </c>
      <c r="AP18" s="66">
        <v>1.5610260652612902E-3</v>
      </c>
      <c r="AQ18" s="22"/>
      <c r="AR18" s="64">
        <v>6.6714873112864101E-2</v>
      </c>
      <c r="AS18" s="64">
        <v>9.6388497319641903E-3</v>
      </c>
      <c r="AT18" s="64">
        <v>3.40740885625955E-2</v>
      </c>
      <c r="AU18" s="64">
        <v>2.3001934818304301E-2</v>
      </c>
      <c r="AV18" s="67"/>
      <c r="AW18" s="110">
        <v>1460.1880360820101</v>
      </c>
    </row>
    <row r="19" spans="1:54" x14ac:dyDescent="0.25">
      <c r="A19" s="41"/>
      <c r="B19" s="41">
        <f t="shared" si="2"/>
        <v>4</v>
      </c>
      <c r="C19" s="101">
        <v>503033.5</v>
      </c>
      <c r="D19" s="102">
        <v>695910.8</v>
      </c>
      <c r="E19" s="102"/>
      <c r="F19" s="103"/>
      <c r="G19" s="101">
        <v>60995.8</v>
      </c>
      <c r="H19" s="102">
        <v>115743.5</v>
      </c>
      <c r="J19" s="103"/>
      <c r="O19" s="109">
        <v>926538</v>
      </c>
      <c r="P19" s="58">
        <v>4.7862999999999998</v>
      </c>
      <c r="Q19" s="61">
        <v>-4.2508515635661298E-2</v>
      </c>
      <c r="R19" s="62">
        <v>-0.12997280814756298</v>
      </c>
      <c r="S19" s="62">
        <v>-3.15086966972353E-2</v>
      </c>
      <c r="T19" s="22"/>
      <c r="U19" s="106">
        <v>1463.39272311224</v>
      </c>
      <c r="V19" s="106">
        <v>1286.7221580655801</v>
      </c>
      <c r="W19" s="106">
        <v>1444.5547309772101</v>
      </c>
      <c r="X19" s="22"/>
      <c r="Y19" s="64">
        <f t="shared" si="3"/>
        <v>4.7239929692182159E-3</v>
      </c>
      <c r="Z19" s="64">
        <f t="shared" si="0"/>
        <v>5.6634599947964492E-3</v>
      </c>
      <c r="AA19" s="64">
        <f t="shared" si="0"/>
        <v>4.7265813817021218E-3</v>
      </c>
      <c r="AB19" s="22"/>
      <c r="AC19" s="106">
        <v>1459.14187154867</v>
      </c>
      <c r="AD19" s="65">
        <f t="shared" si="5"/>
        <v>3.7623149745085183E-3</v>
      </c>
      <c r="AE19" s="66">
        <v>-3.0524742116368603E-2</v>
      </c>
      <c r="AF19" s="64">
        <v>-4.1293506268561701E-2</v>
      </c>
      <c r="AG19" s="64">
        <v>-3.2969990668822099E-2</v>
      </c>
      <c r="AH19" s="22"/>
      <c r="AI19" s="106">
        <v>1462.1943457603099</v>
      </c>
      <c r="AJ19" s="106">
        <v>1277.8542278776799</v>
      </c>
      <c r="AK19" s="106">
        <v>1444.70086037437</v>
      </c>
      <c r="AL19" s="22"/>
      <c r="AM19" s="64">
        <f t="shared" si="4"/>
        <v>5.5638128133401743E-3</v>
      </c>
      <c r="AN19" s="64">
        <f t="shared" si="1"/>
        <v>5.2027028944725551E-3</v>
      </c>
      <c r="AO19" s="65">
        <f t="shared" si="1"/>
        <v>5.7433642901667525E-3</v>
      </c>
      <c r="AP19" s="66">
        <v>-6.4745153386772504E-3</v>
      </c>
      <c r="AQ19" s="22"/>
      <c r="AR19" s="64">
        <v>1.8536783369265498E-2</v>
      </c>
      <c r="AS19" s="64">
        <v>9.2443541995039895E-3</v>
      </c>
      <c r="AT19" s="64">
        <v>-8.6575201875323405E-3</v>
      </c>
      <c r="AU19" s="64">
        <v>1.7949949357293899E-2</v>
      </c>
      <c r="AV19" s="67"/>
      <c r="AW19" s="110">
        <v>1459.7914281410599</v>
      </c>
    </row>
    <row r="20" spans="1:54" x14ac:dyDescent="0.25">
      <c r="A20" s="41">
        <f t="shared" ref="A20" si="8">A16+1</f>
        <v>2004</v>
      </c>
      <c r="B20" s="41">
        <f t="shared" si="2"/>
        <v>1</v>
      </c>
      <c r="C20" s="101">
        <v>402144.7</v>
      </c>
      <c r="D20" s="102">
        <v>510774.1</v>
      </c>
      <c r="E20" s="102"/>
      <c r="F20" s="103"/>
      <c r="G20" s="101">
        <v>49312</v>
      </c>
      <c r="H20" s="102">
        <v>93717.5</v>
      </c>
      <c r="J20" s="103"/>
      <c r="O20" s="109">
        <v>950492</v>
      </c>
      <c r="P20" s="58">
        <v>4.3708</v>
      </c>
      <c r="Q20" s="61">
        <v>1.7199243195932402E-3</v>
      </c>
      <c r="R20" s="62">
        <v>-0.112579910603783</v>
      </c>
      <c r="S20" s="62">
        <v>2.4885251493174099E-2</v>
      </c>
      <c r="T20" s="22"/>
      <c r="U20" s="106">
        <v>1465.1927351944601</v>
      </c>
      <c r="V20" s="106">
        <v>1288.72825710961</v>
      </c>
      <c r="W20" s="106">
        <v>1446.31120633557</v>
      </c>
      <c r="X20" s="22"/>
      <c r="Y20" s="64">
        <f t="shared" si="3"/>
        <v>4.807432777267362E-3</v>
      </c>
      <c r="Z20" s="64">
        <f t="shared" si="0"/>
        <v>5.9164436729903791E-3</v>
      </c>
      <c r="AA20" s="64">
        <f t="shared" si="0"/>
        <v>4.7833659233682546E-3</v>
      </c>
      <c r="AB20" s="22"/>
      <c r="AC20" s="106">
        <v>1465.3647276264201</v>
      </c>
      <c r="AD20" s="65">
        <f t="shared" si="5"/>
        <v>5.5936778379452878E-3</v>
      </c>
      <c r="AE20" s="66">
        <v>2.5495201728230198E-3</v>
      </c>
      <c r="AF20" s="64">
        <v>-7.3917843371200206E-2</v>
      </c>
      <c r="AG20" s="64">
        <v>1.77851396059664E-2</v>
      </c>
      <c r="AH20" s="22"/>
      <c r="AI20" s="106">
        <v>1465.1097756091399</v>
      </c>
      <c r="AJ20" s="106">
        <v>1284.8620503863499</v>
      </c>
      <c r="AK20" s="106">
        <v>1447.02121752429</v>
      </c>
      <c r="AL20" s="22"/>
      <c r="AM20" s="64">
        <f t="shared" si="4"/>
        <v>6.1755773862064434E-3</v>
      </c>
      <c r="AN20" s="64">
        <f t="shared" si="1"/>
        <v>1.123525381338486E-2</v>
      </c>
      <c r="AO20" s="65">
        <f t="shared" si="1"/>
        <v>5.4931744628003987E-3</v>
      </c>
      <c r="AP20" s="66">
        <v>7.6257884430889392E-2</v>
      </c>
      <c r="AQ20" s="22"/>
      <c r="AR20" s="64">
        <v>1.5416620900072699E-2</v>
      </c>
      <c r="AS20" s="64">
        <v>8.80966277705055E-3</v>
      </c>
      <c r="AT20" s="64">
        <v>-6.8962201339641408E-3</v>
      </c>
      <c r="AU20" s="64">
        <v>1.35031782569863E-2</v>
      </c>
      <c r="AV20" s="67"/>
      <c r="AW20" s="110">
        <v>1458.01571736954</v>
      </c>
    </row>
    <row r="21" spans="1:54" x14ac:dyDescent="0.25">
      <c r="A21" s="41"/>
      <c r="B21" s="41">
        <f t="shared" si="2"/>
        <v>2</v>
      </c>
      <c r="C21" s="101">
        <v>657504.30000000005</v>
      </c>
      <c r="D21" s="102">
        <v>804811.5</v>
      </c>
      <c r="E21" s="102"/>
      <c r="F21" s="103"/>
      <c r="G21" s="101">
        <v>87736.1</v>
      </c>
      <c r="H21" s="102">
        <v>168197.1</v>
      </c>
      <c r="J21" s="103"/>
      <c r="O21" s="109">
        <v>950492</v>
      </c>
      <c r="P21" s="58">
        <v>4.3708</v>
      </c>
      <c r="Q21" s="61">
        <v>4.1994123798472102E-2</v>
      </c>
      <c r="R21" s="62">
        <v>0.17875527498042099</v>
      </c>
      <c r="S21" s="62">
        <v>2.1088132157281E-2</v>
      </c>
      <c r="T21" s="22"/>
      <c r="U21" s="106">
        <v>1467.01911933051</v>
      </c>
      <c r="V21" s="106">
        <v>1290.7666786371699</v>
      </c>
      <c r="W21" s="106">
        <v>1448.09317209557</v>
      </c>
      <c r="X21" s="22"/>
      <c r="Y21" s="64">
        <f t="shared" si="3"/>
        <v>4.8857978457703677E-3</v>
      </c>
      <c r="Z21" s="64">
        <f t="shared" si="0"/>
        <v>6.1195182911517598E-3</v>
      </c>
      <c r="AA21" s="64">
        <f t="shared" si="0"/>
        <v>4.8429353168943923E-3</v>
      </c>
      <c r="AB21" s="22"/>
      <c r="AC21" s="106">
        <v>1471.2185317103599</v>
      </c>
      <c r="AD21" s="65">
        <f t="shared" si="5"/>
        <v>8.5524740141647015E-3</v>
      </c>
      <c r="AE21" s="66">
        <v>3.5528197321222803E-2</v>
      </c>
      <c r="AF21" s="64">
        <v>0.141812612598649</v>
      </c>
      <c r="AG21" s="64">
        <v>1.8553668242506E-2</v>
      </c>
      <c r="AH21" s="22"/>
      <c r="AI21" s="106">
        <v>1467.6657119782401</v>
      </c>
      <c r="AJ21" s="106">
        <v>1294.4609448753499</v>
      </c>
      <c r="AK21" s="106">
        <v>1448.3466184870499</v>
      </c>
      <c r="AL21" s="22"/>
      <c r="AM21" s="64">
        <f t="shared" si="4"/>
        <v>6.5710830260168329E-3</v>
      </c>
      <c r="AN21" s="64">
        <f t="shared" si="1"/>
        <v>1.8993186392007866E-2</v>
      </c>
      <c r="AO21" s="65">
        <f t="shared" si="1"/>
        <v>4.7314683991088735E-3</v>
      </c>
      <c r="AP21" s="66">
        <v>9.0349095031515295E-2</v>
      </c>
      <c r="AQ21" s="22"/>
      <c r="AR21" s="64">
        <v>4.2915864965905604E-2</v>
      </c>
      <c r="AS21" s="64">
        <v>8.3444347366515795E-3</v>
      </c>
      <c r="AT21" s="64">
        <v>2.5724664333977798E-2</v>
      </c>
      <c r="AU21" s="64">
        <v>8.84676589527616E-3</v>
      </c>
      <c r="AV21" s="67"/>
      <c r="AW21" s="110">
        <v>1462.5687401467101</v>
      </c>
    </row>
    <row r="22" spans="1:54" x14ac:dyDescent="0.25">
      <c r="A22" s="41"/>
      <c r="B22" s="41">
        <f t="shared" si="2"/>
        <v>3</v>
      </c>
      <c r="C22" s="101">
        <v>595899.9</v>
      </c>
      <c r="D22" s="102">
        <v>755691.8</v>
      </c>
      <c r="E22" s="102"/>
      <c r="F22" s="103"/>
      <c r="G22" s="101">
        <v>101557.1</v>
      </c>
      <c r="H22" s="102">
        <v>179028.7</v>
      </c>
      <c r="J22" s="103"/>
      <c r="O22" s="109">
        <v>950492</v>
      </c>
      <c r="P22" s="58">
        <v>4.3708</v>
      </c>
      <c r="Q22" s="61">
        <v>1.44054633409905E-2</v>
      </c>
      <c r="R22" s="62">
        <v>0.135090328794083</v>
      </c>
      <c r="S22" s="62">
        <v>-8.9235738777574611E-3</v>
      </c>
      <c r="T22" s="22"/>
      <c r="U22" s="106">
        <v>1468.8676702333801</v>
      </c>
      <c r="V22" s="106">
        <v>1292.8011245314699</v>
      </c>
      <c r="W22" s="106">
        <v>1449.9027665161</v>
      </c>
      <c r="X22" s="22"/>
      <c r="Y22" s="64">
        <f t="shared" si="3"/>
        <v>4.9563207511311713E-3</v>
      </c>
      <c r="Z22" s="64">
        <f t="shared" si="0"/>
        <v>6.2450348473510608E-3</v>
      </c>
      <c r="AA22" s="64">
        <f t="shared" si="0"/>
        <v>4.9067713960793125E-3</v>
      </c>
      <c r="AB22" s="22"/>
      <c r="AC22" s="106">
        <v>1470.30821656747</v>
      </c>
      <c r="AD22" s="65">
        <f t="shared" si="5"/>
        <v>6.8231865071421982E-3</v>
      </c>
      <c r="AE22" s="66">
        <v>1.15379142055332E-2</v>
      </c>
      <c r="AF22" s="64">
        <v>7.2288867013410599E-2</v>
      </c>
      <c r="AG22" s="64">
        <v>-4.1976348549787397E-4</v>
      </c>
      <c r="AH22" s="22"/>
      <c r="AI22" s="106">
        <v>1469.1544251469199</v>
      </c>
      <c r="AJ22" s="106">
        <v>1299.0812707095399</v>
      </c>
      <c r="AK22" s="106">
        <v>1449.0523854768701</v>
      </c>
      <c r="AL22" s="22"/>
      <c r="AM22" s="64">
        <f t="shared" si="4"/>
        <v>6.0900572780682172E-3</v>
      </c>
      <c r="AN22" s="64">
        <f t="shared" si="1"/>
        <v>2.0875040335591732E-2</v>
      </c>
      <c r="AO22" s="65">
        <f t="shared" si="1"/>
        <v>3.8050258358535149E-3</v>
      </c>
      <c r="AP22" s="66">
        <v>8.7626486706122206E-2</v>
      </c>
      <c r="AQ22" s="22"/>
      <c r="AR22" s="64">
        <v>1.7352859472543301E-2</v>
      </c>
      <c r="AS22" s="64">
        <v>7.8566273305534402E-3</v>
      </c>
      <c r="AT22" s="64">
        <v>6.6077679255282795E-3</v>
      </c>
      <c r="AU22" s="64">
        <v>2.8884642164616597E-3</v>
      </c>
      <c r="AV22" s="67"/>
      <c r="AW22" s="110">
        <v>1461.9084378842699</v>
      </c>
    </row>
    <row r="23" spans="1:54" x14ac:dyDescent="0.25">
      <c r="A23" s="41"/>
      <c r="B23" s="41">
        <f t="shared" si="2"/>
        <v>4</v>
      </c>
      <c r="C23" s="101">
        <v>705608.1</v>
      </c>
      <c r="D23" s="102">
        <v>764435.1</v>
      </c>
      <c r="E23" s="102"/>
      <c r="F23" s="103"/>
      <c r="G23" s="101">
        <v>152992.4</v>
      </c>
      <c r="H23" s="102">
        <v>132029.5</v>
      </c>
      <c r="J23" s="103"/>
      <c r="O23" s="109">
        <v>950492</v>
      </c>
      <c r="P23" s="58">
        <v>4.3708</v>
      </c>
      <c r="Q23" s="61">
        <v>-2.9244023377705101E-2</v>
      </c>
      <c r="R23" s="62">
        <v>-8.3127986536023796E-2</v>
      </c>
      <c r="S23" s="62">
        <v>-3.06695358951788E-2</v>
      </c>
      <c r="T23" s="22"/>
      <c r="U23" s="106">
        <v>1470.73680724879</v>
      </c>
      <c r="V23" s="106">
        <v>1294.80646888039</v>
      </c>
      <c r="W23" s="106">
        <v>1451.7434458642799</v>
      </c>
      <c r="X23" s="22"/>
      <c r="Y23" s="64">
        <f t="shared" si="3"/>
        <v>5.0185326334897251E-3</v>
      </c>
      <c r="Z23" s="64">
        <f t="shared" si="0"/>
        <v>6.2828721524184061E-3</v>
      </c>
      <c r="AA23" s="64">
        <f t="shared" si="0"/>
        <v>4.9764226532329481E-3</v>
      </c>
      <c r="AB23" s="22"/>
      <c r="AC23" s="106">
        <v>1467.8124049110099</v>
      </c>
      <c r="AD23" s="65">
        <f t="shared" si="5"/>
        <v>5.9422140721225869E-3</v>
      </c>
      <c r="AE23" s="66">
        <v>-2.4393560699930199E-2</v>
      </c>
      <c r="AF23" s="64">
        <v>-0.13570438752733302</v>
      </c>
      <c r="AG23" s="64">
        <v>-1.1624659790235602E-2</v>
      </c>
      <c r="AH23" s="22"/>
      <c r="AI23" s="106">
        <v>1470.25176098101</v>
      </c>
      <c r="AJ23" s="106">
        <v>1300.0641089795199</v>
      </c>
      <c r="AK23" s="106">
        <v>1449.83895825378</v>
      </c>
      <c r="AL23" s="22"/>
      <c r="AM23" s="64">
        <f t="shared" si="4"/>
        <v>5.510495403065141E-3</v>
      </c>
      <c r="AN23" s="64">
        <f t="shared" si="1"/>
        <v>1.7380606189116854E-2</v>
      </c>
      <c r="AO23" s="65">
        <f t="shared" si="1"/>
        <v>3.5565133380472957E-3</v>
      </c>
      <c r="AP23" s="66">
        <v>8.24946906718802E-2</v>
      </c>
      <c r="AQ23" s="22"/>
      <c r="AR23" s="64">
        <v>9.419348504620111E-4</v>
      </c>
      <c r="AS23" s="64">
        <v>7.3528379721901002E-3</v>
      </c>
      <c r="AT23" s="64">
        <v>-3.0529047888657999E-3</v>
      </c>
      <c r="AU23" s="64">
        <v>-3.3579983328622799E-3</v>
      </c>
      <c r="AV23" s="67"/>
      <c r="AW23" s="110">
        <v>1459.8855772918801</v>
      </c>
    </row>
    <row r="24" spans="1:54" x14ac:dyDescent="0.25">
      <c r="A24" s="41">
        <f t="shared" ref="A24" si="9">A20+1</f>
        <v>2005</v>
      </c>
      <c r="B24" s="41">
        <f t="shared" si="2"/>
        <v>1</v>
      </c>
      <c r="C24" s="101">
        <v>493827.1</v>
      </c>
      <c r="D24" s="102">
        <v>534784.6</v>
      </c>
      <c r="E24" s="102"/>
      <c r="F24" s="103"/>
      <c r="G24" s="101">
        <v>93039.9</v>
      </c>
      <c r="H24" s="102">
        <v>131582.29999999999</v>
      </c>
      <c r="J24" s="103"/>
      <c r="K24" s="111">
        <v>76449.399999999994</v>
      </c>
      <c r="L24" s="107">
        <v>76449.399999999994</v>
      </c>
      <c r="O24" s="112">
        <v>968313</v>
      </c>
      <c r="Q24" s="61">
        <v>-2.49283100445063E-2</v>
      </c>
      <c r="R24" s="62">
        <v>0.126034848779918</v>
      </c>
      <c r="S24" s="62">
        <v>-5.2782862949261398E-2</v>
      </c>
      <c r="T24" s="22"/>
      <c r="U24" s="106">
        <v>1472.6258500639301</v>
      </c>
      <c r="V24" s="106">
        <v>1296.76602891737</v>
      </c>
      <c r="W24" s="106">
        <v>1453.6181086838701</v>
      </c>
      <c r="X24" s="22"/>
      <c r="Y24" s="64">
        <f t="shared" si="3"/>
        <v>5.0731311252942834E-3</v>
      </c>
      <c r="Z24" s="64">
        <f t="shared" si="3"/>
        <v>6.2369795675834006E-3</v>
      </c>
      <c r="AA24" s="64">
        <f t="shared" si="3"/>
        <v>5.0520955077248964E-3</v>
      </c>
      <c r="AB24" s="22"/>
      <c r="AC24" s="106">
        <v>1470.1330190594799</v>
      </c>
      <c r="AD24" s="65">
        <f t="shared" si="5"/>
        <v>3.253996321300523E-3</v>
      </c>
      <c r="AE24" s="66">
        <v>-1.8272114067636E-2</v>
      </c>
      <c r="AF24" s="64">
        <v>4.3728671028128697E-2</v>
      </c>
      <c r="AG24" s="64">
        <v>-2.7534228019753599E-2</v>
      </c>
      <c r="AH24" s="22"/>
      <c r="AI24" s="106">
        <v>1471.9602304662401</v>
      </c>
      <c r="AJ24" s="106">
        <v>1304.99664669255</v>
      </c>
      <c r="AK24" s="106">
        <v>1451.09324519092</v>
      </c>
      <c r="AL24" s="22"/>
      <c r="AM24" s="64">
        <f t="shared" si="4"/>
        <v>4.6757280383662447E-3</v>
      </c>
      <c r="AN24" s="64">
        <f t="shared" si="4"/>
        <v>1.5670628843108769E-2</v>
      </c>
      <c r="AO24" s="65">
        <f t="shared" si="4"/>
        <v>2.8140759909498492E-3</v>
      </c>
      <c r="AP24" s="66">
        <v>6.1575847063520699E-2</v>
      </c>
      <c r="AQ24" s="22"/>
      <c r="AR24" s="64">
        <v>6.3343899134833098E-2</v>
      </c>
      <c r="AS24" s="64">
        <v>6.8384858708830498E-3</v>
      </c>
      <c r="AT24" s="64">
        <v>6.7297627446578204E-2</v>
      </c>
      <c r="AU24" s="64">
        <v>-1.07922141826281E-2</v>
      </c>
      <c r="AV24" s="67"/>
      <c r="AW24" s="110">
        <v>1464.1575738265101</v>
      </c>
    </row>
    <row r="25" spans="1:54" x14ac:dyDescent="0.25">
      <c r="A25" s="41"/>
      <c r="B25" s="41">
        <f t="shared" si="2"/>
        <v>2</v>
      </c>
      <c r="C25" s="101">
        <v>824924.3</v>
      </c>
      <c r="D25" s="102">
        <v>834734.6</v>
      </c>
      <c r="E25" s="102"/>
      <c r="F25" s="103"/>
      <c r="G25" s="101">
        <v>153128.29999999999</v>
      </c>
      <c r="H25" s="102">
        <v>166830.70000000001</v>
      </c>
      <c r="J25" s="103"/>
      <c r="K25" s="101">
        <v>441273.59999999998</v>
      </c>
      <c r="L25" s="102">
        <v>441273.59999999998</v>
      </c>
      <c r="O25" s="112">
        <v>968313</v>
      </c>
      <c r="Q25" s="61">
        <v>6.8601552513427996E-3</v>
      </c>
      <c r="R25" s="62">
        <v>8.8131802737634601E-2</v>
      </c>
      <c r="S25" s="62">
        <v>-4.8114153092160402E-3</v>
      </c>
      <c r="T25" s="22"/>
      <c r="U25" s="106">
        <v>1474.53229061454</v>
      </c>
      <c r="V25" s="106">
        <v>1298.65792637667</v>
      </c>
      <c r="W25" s="106">
        <v>1455.52773667266</v>
      </c>
      <c r="X25" s="22"/>
      <c r="Y25" s="64">
        <f t="shared" si="3"/>
        <v>5.12138607127266E-3</v>
      </c>
      <c r="Z25" s="64">
        <f t="shared" si="3"/>
        <v>6.1136128396435119E-3</v>
      </c>
      <c r="AA25" s="64">
        <f t="shared" si="3"/>
        <v>5.13403745031904E-3</v>
      </c>
      <c r="AB25" s="22"/>
      <c r="AC25" s="106">
        <v>1475.2183061396699</v>
      </c>
      <c r="AD25" s="65">
        <f t="shared" si="5"/>
        <v>2.7186813808415256E-3</v>
      </c>
      <c r="AE25" s="66">
        <v>9.0913532130148106E-3</v>
      </c>
      <c r="AF25" s="64">
        <v>1.7511944667932301E-2</v>
      </c>
      <c r="AG25" s="64">
        <v>1.2163756632863301E-2</v>
      </c>
      <c r="AH25" s="22"/>
      <c r="AI25" s="106">
        <v>1474.3091708183699</v>
      </c>
      <c r="AJ25" s="106">
        <v>1305.71991218364</v>
      </c>
      <c r="AK25" s="106">
        <v>1453.8302194784501</v>
      </c>
      <c r="AL25" s="22"/>
      <c r="AM25" s="64">
        <f t="shared" si="4"/>
        <v>4.5265476912825786E-3</v>
      </c>
      <c r="AN25" s="64">
        <f t="shared" si="4"/>
        <v>8.6978037868683522E-3</v>
      </c>
      <c r="AO25" s="65">
        <f t="shared" si="4"/>
        <v>3.7861109498280587E-3</v>
      </c>
      <c r="AP25" s="66">
        <v>7.1004160952050296E-2</v>
      </c>
      <c r="AQ25" s="22"/>
      <c r="AR25" s="64">
        <v>5.96079522710877E-2</v>
      </c>
      <c r="AS25" s="64">
        <v>6.3178769470921704E-3</v>
      </c>
      <c r="AT25" s="64">
        <v>7.1337277553728401E-2</v>
      </c>
      <c r="AU25" s="64">
        <v>-1.8047202229732898E-2</v>
      </c>
      <c r="AV25" s="67"/>
      <c r="AW25" s="110">
        <v>1468.35863848293</v>
      </c>
    </row>
    <row r="26" spans="1:54" x14ac:dyDescent="0.25">
      <c r="A26" s="41"/>
      <c r="B26" s="41">
        <f t="shared" si="2"/>
        <v>3</v>
      </c>
      <c r="C26" s="101">
        <v>817679.8</v>
      </c>
      <c r="D26" s="102">
        <v>807217.1</v>
      </c>
      <c r="E26" s="102"/>
      <c r="F26" s="103"/>
      <c r="G26" s="101">
        <v>192839</v>
      </c>
      <c r="H26" s="102">
        <v>192686.8</v>
      </c>
      <c r="J26" s="103"/>
      <c r="K26" s="101">
        <v>111023.40000000002</v>
      </c>
      <c r="L26" s="102">
        <v>103818.59999999998</v>
      </c>
      <c r="O26" s="112">
        <v>968313</v>
      </c>
      <c r="Q26" s="61">
        <v>1.2334019194431601E-2</v>
      </c>
      <c r="R26" s="62">
        <v>0.15968068767228399</v>
      </c>
      <c r="S26" s="62">
        <v>-1.57397177070129E-2</v>
      </c>
      <c r="T26" s="22"/>
      <c r="U26" s="106">
        <v>1476.45206281695</v>
      </c>
      <c r="V26" s="106">
        <v>1300.46816017063</v>
      </c>
      <c r="W26" s="106">
        <v>1457.47001259947</v>
      </c>
      <c r="X26" s="22"/>
      <c r="Y26" s="64">
        <f t="shared" si="3"/>
        <v>5.1634280863197546E-3</v>
      </c>
      <c r="Z26" s="64">
        <f t="shared" si="3"/>
        <v>5.9305607751065637E-3</v>
      </c>
      <c r="AA26" s="64">
        <f t="shared" si="3"/>
        <v>5.2191403852224205E-3</v>
      </c>
      <c r="AB26" s="22"/>
      <c r="AC26" s="106">
        <v>1477.6854647364</v>
      </c>
      <c r="AD26" s="65">
        <f t="shared" si="5"/>
        <v>5.0174841477472754E-3</v>
      </c>
      <c r="AE26" s="66">
        <v>1.1962729300815201E-2</v>
      </c>
      <c r="AF26" s="64">
        <v>8.6223674749393506E-2</v>
      </c>
      <c r="AG26" s="64">
        <v>-2.7050871900636702E-3</v>
      </c>
      <c r="AH26" s="22"/>
      <c r="AI26" s="106">
        <v>1476.4891918063099</v>
      </c>
      <c r="AJ26" s="106">
        <v>1307.8138614629199</v>
      </c>
      <c r="AK26" s="106">
        <v>1456.16654954777</v>
      </c>
      <c r="AL26" s="22"/>
      <c r="AM26" s="64">
        <f t="shared" si="4"/>
        <v>4.9925089792084432E-3</v>
      </c>
      <c r="AN26" s="64">
        <f t="shared" si="4"/>
        <v>6.722128130298044E-3</v>
      </c>
      <c r="AO26" s="65">
        <f t="shared" si="4"/>
        <v>4.9095285596307825E-3</v>
      </c>
      <c r="AP26" s="66">
        <v>9.0966082338202095E-2</v>
      </c>
      <c r="AQ26" s="22"/>
      <c r="AR26" s="64">
        <v>7.3266337812380997E-2</v>
      </c>
      <c r="AS26" s="64">
        <v>5.7940997001529404E-3</v>
      </c>
      <c r="AT26" s="64">
        <v>9.3611233943987099E-2</v>
      </c>
      <c r="AU26" s="64">
        <v>-2.6138995831759101E-2</v>
      </c>
      <c r="AV26" s="67"/>
      <c r="AW26" s="110">
        <v>1468.9791029595499</v>
      </c>
    </row>
    <row r="27" spans="1:54" x14ac:dyDescent="0.25">
      <c r="A27" s="41"/>
      <c r="B27" s="41">
        <f t="shared" si="2"/>
        <v>4</v>
      </c>
      <c r="C27" s="101">
        <v>904974.6</v>
      </c>
      <c r="D27" s="102">
        <v>864669.7</v>
      </c>
      <c r="E27" s="102"/>
      <c r="F27" s="103"/>
      <c r="G27" s="101">
        <v>203081.8</v>
      </c>
      <c r="H27" s="102">
        <v>150989.20000000001</v>
      </c>
      <c r="J27" s="103"/>
      <c r="K27" s="101">
        <v>512649.29999999993</v>
      </c>
      <c r="L27" s="102">
        <v>519854.1</v>
      </c>
      <c r="O27" s="112">
        <v>968313</v>
      </c>
      <c r="Q27" s="61">
        <v>3.4340782010894998E-3</v>
      </c>
      <c r="R27" s="62">
        <v>-3.9271596194903398E-2</v>
      </c>
      <c r="S27" s="62">
        <v>-7.9942530537209597E-4</v>
      </c>
      <c r="T27" s="22"/>
      <c r="U27" s="106">
        <v>1478.3815293472301</v>
      </c>
      <c r="V27" s="106">
        <v>1302.18823744923</v>
      </c>
      <c r="W27" s="106">
        <v>1459.4423185196799</v>
      </c>
      <c r="X27" s="22"/>
      <c r="Y27" s="64">
        <f t="shared" si="3"/>
        <v>5.1978858900938452E-3</v>
      </c>
      <c r="Z27" s="64">
        <f t="shared" si="3"/>
        <v>5.7010593832009793E-3</v>
      </c>
      <c r="AA27" s="64">
        <f t="shared" si="3"/>
        <v>5.3031909166405544E-3</v>
      </c>
      <c r="AB27" s="22"/>
      <c r="AC27" s="106">
        <v>1478.7249371673399</v>
      </c>
      <c r="AD27" s="65">
        <f t="shared" si="5"/>
        <v>7.4345551378491859E-3</v>
      </c>
      <c r="AE27" s="66">
        <v>5.0049207168759106E-3</v>
      </c>
      <c r="AF27" s="64">
        <v>-6.5696023747548904E-2</v>
      </c>
      <c r="AG27" s="64">
        <v>7.0071764796202892E-3</v>
      </c>
      <c r="AH27" s="22"/>
      <c r="AI27" s="106">
        <v>1478.22444509565</v>
      </c>
      <c r="AJ27" s="106">
        <v>1304.8306802044999</v>
      </c>
      <c r="AK27" s="106">
        <v>1458.6616583411801</v>
      </c>
      <c r="AL27" s="22"/>
      <c r="AM27" s="64">
        <f t="shared" si="4"/>
        <v>5.4226659176523917E-3</v>
      </c>
      <c r="AN27" s="64">
        <f t="shared" si="4"/>
        <v>3.6664124423229083E-3</v>
      </c>
      <c r="AO27" s="65">
        <f t="shared" si="4"/>
        <v>6.0852966028905886E-3</v>
      </c>
      <c r="AP27" s="66">
        <v>1.94383562646387E-2</v>
      </c>
      <c r="AQ27" s="22"/>
      <c r="AR27" s="64">
        <v>0.18428800485357399</v>
      </c>
      <c r="AS27" s="64">
        <v>5.2693969437589104E-3</v>
      </c>
      <c r="AT27" s="64">
        <v>0.221256689964478</v>
      </c>
      <c r="AU27" s="64">
        <v>-4.2238082054663798E-2</v>
      </c>
      <c r="AV27" s="67"/>
      <c r="AW27" s="110">
        <v>1476.79975271433</v>
      </c>
    </row>
    <row r="28" spans="1:54" x14ac:dyDescent="0.25">
      <c r="A28" s="41">
        <f t="shared" ref="A28" si="10">A24+1</f>
        <v>2006</v>
      </c>
      <c r="B28" s="41">
        <f t="shared" si="2"/>
        <v>1</v>
      </c>
      <c r="C28" s="101">
        <v>671623.2</v>
      </c>
      <c r="D28" s="102">
        <v>592131.69999999995</v>
      </c>
      <c r="E28" s="102"/>
      <c r="F28" s="103"/>
      <c r="G28" s="101">
        <v>182156.4</v>
      </c>
      <c r="H28" s="102">
        <v>127733.7</v>
      </c>
      <c r="J28" s="103"/>
      <c r="K28" s="101">
        <v>83020.605250021807</v>
      </c>
      <c r="L28" s="102">
        <v>81870</v>
      </c>
      <c r="O28" s="109">
        <v>1009920</v>
      </c>
      <c r="Q28" s="61">
        <v>1.27650685055641E-3</v>
      </c>
      <c r="R28" s="62">
        <v>7.1239482514351901E-3</v>
      </c>
      <c r="S28" s="62">
        <v>8.3090752086763999E-3</v>
      </c>
      <c r="T28" s="22"/>
      <c r="U28" s="106">
        <v>1480.3178237576201</v>
      </c>
      <c r="V28" s="106">
        <v>1303.8196454054601</v>
      </c>
      <c r="W28" s="106">
        <v>1461.44105275632</v>
      </c>
      <c r="X28" s="22"/>
      <c r="Y28" s="64">
        <f t="shared" si="3"/>
        <v>5.2233048152428019E-3</v>
      </c>
      <c r="Z28" s="64">
        <f t="shared" si="3"/>
        <v>5.4393902452694043E-3</v>
      </c>
      <c r="AA28" s="64">
        <f t="shared" si="3"/>
        <v>5.3817051574385211E-3</v>
      </c>
      <c r="AB28" s="22"/>
      <c r="AC28" s="106">
        <v>1480.4454744426801</v>
      </c>
      <c r="AD28" s="65">
        <f t="shared" si="5"/>
        <v>7.0146410219380506E-3</v>
      </c>
      <c r="AE28" s="66">
        <v>4.0587942959932795E-3</v>
      </c>
      <c r="AF28" s="64">
        <v>-9.4380003165218888E-3</v>
      </c>
      <c r="AG28" s="64">
        <v>1.4432805788717201E-2</v>
      </c>
      <c r="AH28" s="22"/>
      <c r="AI28" s="106">
        <v>1480.0395950130801</v>
      </c>
      <c r="AJ28" s="106">
        <v>1305.4758402622499</v>
      </c>
      <c r="AK28" s="106">
        <v>1460.82867969831</v>
      </c>
      <c r="AL28" s="22"/>
      <c r="AM28" s="64">
        <f t="shared" si="4"/>
        <v>5.4888470351408536E-3</v>
      </c>
      <c r="AN28" s="64">
        <f t="shared" si="4"/>
        <v>3.6719908124993594E-4</v>
      </c>
      <c r="AO28" s="65">
        <f t="shared" si="4"/>
        <v>6.709034405372849E-3</v>
      </c>
      <c r="AP28" s="66">
        <v>1.14111835023064E-2</v>
      </c>
      <c r="AQ28" s="22"/>
      <c r="AR28" s="64">
        <v>0.163616047868367</v>
      </c>
      <c r="AS28" s="64">
        <v>4.7452040586040403E-3</v>
      </c>
      <c r="AT28" s="64">
        <v>0.207363493876735</v>
      </c>
      <c r="AU28" s="64">
        <v>-4.84926500669721E-2</v>
      </c>
      <c r="AV28" s="67"/>
      <c r="AW28" s="110">
        <v>1479.31081773767</v>
      </c>
    </row>
    <row r="29" spans="1:54" x14ac:dyDescent="0.25">
      <c r="A29" s="41"/>
      <c r="B29" s="41">
        <f t="shared" si="2"/>
        <v>2</v>
      </c>
      <c r="C29" s="101">
        <v>1150052.7</v>
      </c>
      <c r="D29" s="102">
        <v>855236.8</v>
      </c>
      <c r="E29" s="102"/>
      <c r="F29" s="103"/>
      <c r="G29" s="101">
        <v>300712.2</v>
      </c>
      <c r="H29" s="102">
        <v>157460.6</v>
      </c>
      <c r="J29" s="103"/>
      <c r="K29" s="105">
        <v>545725.79474997823</v>
      </c>
      <c r="L29" s="106">
        <v>539671.6</v>
      </c>
      <c r="O29" s="109">
        <v>1009920</v>
      </c>
      <c r="Q29" s="61">
        <v>-3.69061984143286E-2</v>
      </c>
      <c r="R29" s="62">
        <v>-2.7859746642434402E-2</v>
      </c>
      <c r="S29" s="62">
        <v>-3.4301749427083902E-2</v>
      </c>
      <c r="T29" s="22"/>
      <c r="U29" s="106">
        <v>1482.2582942302599</v>
      </c>
      <c r="V29" s="106">
        <v>1305.3614167575099</v>
      </c>
      <c r="W29" s="106">
        <v>1463.4625636683199</v>
      </c>
      <c r="X29" s="22"/>
      <c r="Y29" s="64">
        <f t="shared" si="3"/>
        <v>5.2396299931145585E-3</v>
      </c>
      <c r="Z29" s="64">
        <f t="shared" si="3"/>
        <v>5.1618599822842448E-3</v>
      </c>
      <c r="AA29" s="64">
        <f t="shared" si="3"/>
        <v>5.4515120500546743E-3</v>
      </c>
      <c r="AB29" s="22"/>
      <c r="AC29" s="106">
        <v>1478.56767438883</v>
      </c>
      <c r="AD29" s="65">
        <f t="shared" si="5"/>
        <v>2.2704221031020211E-3</v>
      </c>
      <c r="AE29" s="66">
        <v>-3.1466262772968899E-2</v>
      </c>
      <c r="AF29" s="64">
        <v>-4.9760541907731097E-2</v>
      </c>
      <c r="AG29" s="64">
        <v>-2.32072582374655E-2</v>
      </c>
      <c r="AH29" s="22"/>
      <c r="AI29" s="106">
        <v>1481.7143006661299</v>
      </c>
      <c r="AJ29" s="106">
        <v>1307.55149628404</v>
      </c>
      <c r="AK29" s="106">
        <v>1462.35311454936</v>
      </c>
      <c r="AL29" s="22"/>
      <c r="AM29" s="64">
        <f t="shared" si="4"/>
        <v>5.0227794782349289E-3</v>
      </c>
      <c r="AN29" s="64">
        <f t="shared" si="4"/>
        <v>1.4027388901016735E-3</v>
      </c>
      <c r="AO29" s="65">
        <f t="shared" si="4"/>
        <v>5.8623730314035782E-3</v>
      </c>
      <c r="AP29" s="66">
        <v>-4.0912203758595701E-2</v>
      </c>
      <c r="AQ29" s="22"/>
      <c r="AR29" s="64">
        <v>0.15472592052299999</v>
      </c>
      <c r="AS29" s="64">
        <v>4.22206681561551E-3</v>
      </c>
      <c r="AT29" s="64">
        <v>0.20571959137228099</v>
      </c>
      <c r="AU29" s="64">
        <v>-5.5215737664896493E-2</v>
      </c>
      <c r="AV29" s="67"/>
      <c r="AW29" s="110">
        <v>1482.74494023949</v>
      </c>
    </row>
    <row r="30" spans="1:54" x14ac:dyDescent="0.25">
      <c r="A30" s="41"/>
      <c r="B30" s="41">
        <f t="shared" si="2"/>
        <v>3</v>
      </c>
      <c r="C30" s="101">
        <v>1025419.9</v>
      </c>
      <c r="D30" s="102">
        <v>843437.4</v>
      </c>
      <c r="E30" s="102"/>
      <c r="F30" s="103"/>
      <c r="G30" s="101">
        <v>312969.8</v>
      </c>
      <c r="H30" s="102">
        <v>164954.9</v>
      </c>
      <c r="J30" s="103"/>
      <c r="K30" s="105">
        <v>345171.4</v>
      </c>
      <c r="L30" s="106">
        <v>331160.40000000002</v>
      </c>
      <c r="O30" s="109">
        <v>1009920</v>
      </c>
      <c r="Q30" s="61">
        <v>-1.41670428377005E-2</v>
      </c>
      <c r="R30" s="62">
        <v>-3.5816351815430997E-2</v>
      </c>
      <c r="S30" s="62">
        <v>-5.33227926508743E-3</v>
      </c>
      <c r="T30" s="22"/>
      <c r="U30" s="106">
        <v>1484.20036872897</v>
      </c>
      <c r="V30" s="106">
        <v>1306.8130294703701</v>
      </c>
      <c r="W30" s="106">
        <v>1465.50371893183</v>
      </c>
      <c r="X30" s="22"/>
      <c r="Y30" s="64">
        <f t="shared" si="3"/>
        <v>5.2479224399855084E-3</v>
      </c>
      <c r="Z30" s="64">
        <f t="shared" si="3"/>
        <v>4.878911682780096E-3</v>
      </c>
      <c r="AA30" s="64">
        <f t="shared" si="3"/>
        <v>5.5120903091732121E-3</v>
      </c>
      <c r="AB30" s="22"/>
      <c r="AC30" s="106">
        <v>1482.7836644452</v>
      </c>
      <c r="AD30" s="65">
        <f t="shared" si="5"/>
        <v>3.4501250979750431E-3</v>
      </c>
      <c r="AE30" s="66">
        <v>-1.49259302804414E-2</v>
      </c>
      <c r="AF30" s="64">
        <v>-8.02832034740322E-2</v>
      </c>
      <c r="AG30" s="64">
        <v>1.1939965303683201E-3</v>
      </c>
      <c r="AH30" s="22"/>
      <c r="AI30" s="106">
        <v>1484.2762574732501</v>
      </c>
      <c r="AJ30" s="106">
        <v>1311.25971463623</v>
      </c>
      <c r="AK30" s="106">
        <v>1464.85109135228</v>
      </c>
      <c r="AL30" s="22"/>
      <c r="AM30" s="64">
        <f t="shared" si="4"/>
        <v>5.2740417675618545E-3</v>
      </c>
      <c r="AN30" s="64">
        <f t="shared" si="4"/>
        <v>2.6348192773055779E-3</v>
      </c>
      <c r="AO30" s="65">
        <f t="shared" si="4"/>
        <v>5.9639756229856733E-3</v>
      </c>
      <c r="AP30" s="66">
        <v>-3.0250430861807499E-2</v>
      </c>
      <c r="AQ30" s="22"/>
      <c r="AR30" s="64">
        <v>0.183839573374312</v>
      </c>
      <c r="AS30" s="64">
        <v>3.7047274883336202E-3</v>
      </c>
      <c r="AT30" s="64">
        <v>0.245744649496486</v>
      </c>
      <c r="AU30" s="64">
        <v>-6.5609803610507708E-2</v>
      </c>
      <c r="AV30" s="67"/>
      <c r="AW30" s="110">
        <v>1485.85540614161</v>
      </c>
    </row>
    <row r="31" spans="1:54" x14ac:dyDescent="0.25">
      <c r="A31" s="41"/>
      <c r="B31" s="41">
        <f t="shared" si="2"/>
        <v>4</v>
      </c>
      <c r="C31" s="101">
        <v>1180462.7</v>
      </c>
      <c r="D31" s="102">
        <v>1010829.5</v>
      </c>
      <c r="E31" s="102"/>
      <c r="F31" s="103"/>
      <c r="G31" s="101">
        <v>349895.5</v>
      </c>
      <c r="H31" s="102">
        <v>226022.9</v>
      </c>
      <c r="J31" s="103"/>
      <c r="K31" s="105">
        <v>471379.09999999986</v>
      </c>
      <c r="L31" s="106">
        <v>359619.30000000005</v>
      </c>
      <c r="O31" s="109">
        <v>1009920</v>
      </c>
      <c r="Q31" s="61">
        <v>6.4831423573707497E-2</v>
      </c>
      <c r="R31" s="62">
        <v>0.28349755152586498</v>
      </c>
      <c r="S31" s="62">
        <v>6.4207556739893298E-3</v>
      </c>
      <c r="T31" s="22"/>
      <c r="U31" s="106">
        <v>1486.13916858017</v>
      </c>
      <c r="V31" s="106">
        <v>1308.1722202748499</v>
      </c>
      <c r="W31" s="106">
        <v>1467.5592423636399</v>
      </c>
      <c r="X31" s="22"/>
      <c r="Y31" s="64">
        <f t="shared" si="3"/>
        <v>5.2473864688806771E-3</v>
      </c>
      <c r="Z31" s="64">
        <f t="shared" si="3"/>
        <v>4.5953285811746181E-3</v>
      </c>
      <c r="AA31" s="64">
        <f t="shared" si="3"/>
        <v>5.5616612873010673E-3</v>
      </c>
      <c r="AB31" s="22"/>
      <c r="AC31" s="106">
        <v>1492.6223109375401</v>
      </c>
      <c r="AD31" s="65">
        <f t="shared" si="5"/>
        <v>9.3982142458637341E-3</v>
      </c>
      <c r="AE31" s="66">
        <v>4.6912234219396901E-2</v>
      </c>
      <c r="AF31" s="64">
        <v>0.17943097124039797</v>
      </c>
      <c r="AG31" s="64">
        <v>7.3821703688568396E-3</v>
      </c>
      <c r="AH31" s="22"/>
      <c r="AI31" s="106">
        <v>1487.9310875156</v>
      </c>
      <c r="AJ31" s="106">
        <v>1318.57887830339</v>
      </c>
      <c r="AK31" s="106">
        <v>1467.4631008941601</v>
      </c>
      <c r="AL31" s="22"/>
      <c r="AM31" s="64">
        <f t="shared" si="4"/>
        <v>6.5664199047403837E-3</v>
      </c>
      <c r="AN31" s="64">
        <f t="shared" si="4"/>
        <v>1.0536384764294082E-2</v>
      </c>
      <c r="AO31" s="65">
        <f t="shared" si="4"/>
        <v>6.0339164347331664E-3</v>
      </c>
      <c r="AP31" s="66">
        <v>4.0370147373071499E-2</v>
      </c>
      <c r="AQ31" s="22"/>
      <c r="AR31" s="64">
        <v>0.12597465599232302</v>
      </c>
      <c r="AS31" s="64">
        <v>3.2021956574190603E-3</v>
      </c>
      <c r="AT31" s="64">
        <v>0.18777192265044998</v>
      </c>
      <c r="AU31" s="64">
        <v>-6.4999462315545903E-2</v>
      </c>
      <c r="AV31" s="67"/>
      <c r="AW31" s="110">
        <v>1488.66465486078</v>
      </c>
    </row>
    <row r="32" spans="1:54" x14ac:dyDescent="0.25">
      <c r="A32" s="41">
        <f t="shared" ref="A32" si="11">A28+1</f>
        <v>2007</v>
      </c>
      <c r="B32" s="41">
        <f t="shared" si="2"/>
        <v>1</v>
      </c>
      <c r="C32" s="101">
        <v>803696.4</v>
      </c>
      <c r="D32" s="102">
        <v>631308.19999999995</v>
      </c>
      <c r="E32" s="102"/>
      <c r="F32" s="103"/>
      <c r="G32" s="101">
        <v>226539.5</v>
      </c>
      <c r="H32" s="102">
        <v>147326.1</v>
      </c>
      <c r="J32" s="103"/>
      <c r="K32" s="105">
        <v>174544.2</v>
      </c>
      <c r="L32" s="106">
        <v>145815</v>
      </c>
      <c r="O32" s="109">
        <v>1024057</v>
      </c>
      <c r="Q32" s="61">
        <v>-5.26287434517826E-3</v>
      </c>
      <c r="R32" s="62">
        <v>7.8775005034581194E-2</v>
      </c>
      <c r="S32" s="62">
        <v>-1.7493927646846701E-2</v>
      </c>
      <c r="T32" s="22"/>
      <c r="U32" s="106">
        <v>1488.0689296701</v>
      </c>
      <c r="V32" s="106">
        <v>1309.43448737977</v>
      </c>
      <c r="W32" s="106">
        <v>1469.6235245131199</v>
      </c>
      <c r="X32" s="22"/>
      <c r="Y32" s="64">
        <f t="shared" si="3"/>
        <v>5.2361092922630359E-3</v>
      </c>
      <c r="Z32" s="64">
        <f t="shared" si="3"/>
        <v>4.306456030246375E-3</v>
      </c>
      <c r="AA32" s="64">
        <f t="shared" si="3"/>
        <v>5.5989064638410913E-3</v>
      </c>
      <c r="AB32" s="22"/>
      <c r="AC32" s="106">
        <v>1487.5426422355799</v>
      </c>
      <c r="AD32" s="65">
        <f t="shared" si="5"/>
        <v>4.793940685705822E-3</v>
      </c>
      <c r="AE32" s="66">
        <v>-2.0545342640239998E-2</v>
      </c>
      <c r="AF32" s="64">
        <v>-3.1796578093884503E-4</v>
      </c>
      <c r="AG32" s="64">
        <v>-2.1663231290603102E-2</v>
      </c>
      <c r="AH32" s="22"/>
      <c r="AI32" s="106">
        <v>1489.5971764996</v>
      </c>
      <c r="AJ32" s="106">
        <v>1317.34378446132</v>
      </c>
      <c r="AK32" s="106">
        <v>1470.04045487749</v>
      </c>
      <c r="AL32" s="22"/>
      <c r="AM32" s="64">
        <f t="shared" si="4"/>
        <v>6.4576525646500293E-3</v>
      </c>
      <c r="AN32" s="64">
        <f t="shared" si="4"/>
        <v>9.090895314221914E-3</v>
      </c>
      <c r="AO32" s="65">
        <f t="shared" si="4"/>
        <v>6.3058559208204468E-3</v>
      </c>
      <c r="AP32" s="66">
        <v>-4.4323789076764396E-2</v>
      </c>
      <c r="AQ32" s="22"/>
      <c r="AR32" s="64">
        <v>0.13616023215152398</v>
      </c>
      <c r="AS32" s="64">
        <v>2.7279467483868904E-3</v>
      </c>
      <c r="AT32" s="64">
        <v>0.204910835842984</v>
      </c>
      <c r="AU32" s="64">
        <v>-7.1478550439846605E-2</v>
      </c>
      <c r="AV32" s="67"/>
      <c r="AW32" s="110">
        <v>1492.07625371583</v>
      </c>
    </row>
    <row r="33" spans="1:49" x14ac:dyDescent="0.25">
      <c r="A33" s="41"/>
      <c r="B33" s="41">
        <f t="shared" si="2"/>
        <v>2</v>
      </c>
      <c r="C33" s="101">
        <v>1353700</v>
      </c>
      <c r="D33" s="102">
        <v>977468.1</v>
      </c>
      <c r="E33" s="102"/>
      <c r="F33" s="103"/>
      <c r="G33" s="101">
        <v>398142.7</v>
      </c>
      <c r="H33" s="102">
        <v>178773.4</v>
      </c>
      <c r="J33" s="103"/>
      <c r="K33" s="105">
        <v>740420.7</v>
      </c>
      <c r="L33" s="106">
        <v>642740.80000000005</v>
      </c>
      <c r="O33" s="109">
        <v>1024057</v>
      </c>
      <c r="Q33" s="61">
        <v>2.46601339156154E-2</v>
      </c>
      <c r="R33" s="62">
        <v>5.9271035096653497E-2</v>
      </c>
      <c r="S33" s="62">
        <v>2.1741991617896E-2</v>
      </c>
      <c r="T33" s="22"/>
      <c r="U33" s="106">
        <v>1489.98793984896</v>
      </c>
      <c r="V33" s="106">
        <v>1310.6130475909299</v>
      </c>
      <c r="W33" s="106">
        <v>1471.69135722683</v>
      </c>
      <c r="X33" s="22"/>
      <c r="Y33" s="64">
        <f t="shared" si="3"/>
        <v>5.2147764318728473E-3</v>
      </c>
      <c r="Z33" s="64">
        <f t="shared" si="3"/>
        <v>4.023123991564681E-3</v>
      </c>
      <c r="AA33" s="64">
        <f t="shared" si="3"/>
        <v>5.6228247737910575E-3</v>
      </c>
      <c r="AB33" s="22"/>
      <c r="AC33" s="106">
        <v>1492.4539532405199</v>
      </c>
      <c r="AD33" s="65">
        <f t="shared" si="5"/>
        <v>9.3917100260085817E-3</v>
      </c>
      <c r="AE33" s="66">
        <v>-2.7175519760590898E-3</v>
      </c>
      <c r="AF33" s="64">
        <v>-4.8181295138016098E-3</v>
      </c>
      <c r="AG33" s="64">
        <v>1.9098161480498E-3</v>
      </c>
      <c r="AH33" s="22"/>
      <c r="AI33" s="106">
        <v>1492.7257084381299</v>
      </c>
      <c r="AJ33" s="106">
        <v>1317.0219640519799</v>
      </c>
      <c r="AK33" s="106">
        <v>1473.67457477381</v>
      </c>
      <c r="AL33" s="22"/>
      <c r="AM33" s="64">
        <f t="shared" si="4"/>
        <v>7.4315323588693971E-3</v>
      </c>
      <c r="AN33" s="64">
        <f t="shared" si="4"/>
        <v>7.2429023215179189E-3</v>
      </c>
      <c r="AO33" s="65">
        <f t="shared" si="4"/>
        <v>7.7419469427797427E-3</v>
      </c>
      <c r="AP33" s="66">
        <v>-2.5322095432357101E-2</v>
      </c>
      <c r="AQ33" s="22"/>
      <c r="AR33" s="64">
        <v>0.13058856019947701</v>
      </c>
      <c r="AS33" s="64">
        <v>2.2995760231873E-3</v>
      </c>
      <c r="AT33" s="64">
        <v>0.20361016954655198</v>
      </c>
      <c r="AU33" s="64">
        <v>-7.53211853702625E-2</v>
      </c>
      <c r="AV33" s="67"/>
      <c r="AW33" s="110">
        <v>1495.01877492581</v>
      </c>
    </row>
    <row r="34" spans="1:49" x14ac:dyDescent="0.25">
      <c r="A34" s="41"/>
      <c r="B34" s="41">
        <f t="shared" si="2"/>
        <v>3</v>
      </c>
      <c r="C34" s="101">
        <v>1275352.1000000001</v>
      </c>
      <c r="D34" s="102">
        <v>941157.9</v>
      </c>
      <c r="E34" s="102"/>
      <c r="F34" s="103"/>
      <c r="G34" s="101">
        <v>345002.9</v>
      </c>
      <c r="H34" s="102">
        <v>169511</v>
      </c>
      <c r="J34" s="103"/>
      <c r="K34" s="105">
        <v>474308.99999999988</v>
      </c>
      <c r="L34" s="106">
        <v>379949.39999999991</v>
      </c>
      <c r="O34" s="109">
        <v>1024057</v>
      </c>
      <c r="Q34" s="61">
        <v>2.4194820298550801E-2</v>
      </c>
      <c r="R34" s="62">
        <v>-3.60018724853216E-2</v>
      </c>
      <c r="S34" s="62">
        <v>3.5222143503360698E-2</v>
      </c>
      <c r="T34" s="22"/>
      <c r="U34" s="106">
        <v>1491.89415803733</v>
      </c>
      <c r="V34" s="106">
        <v>1311.7260411519401</v>
      </c>
      <c r="W34" s="106">
        <v>1473.7564389808699</v>
      </c>
      <c r="X34" s="22"/>
      <c r="Y34" s="64">
        <f t="shared" si="3"/>
        <v>5.1837942305248408E-3</v>
      </c>
      <c r="Z34" s="64">
        <f t="shared" si="3"/>
        <v>3.7595368050171718E-3</v>
      </c>
      <c r="AA34" s="64">
        <f t="shared" si="3"/>
        <v>5.6313197588164776E-3</v>
      </c>
      <c r="AB34" s="22"/>
      <c r="AC34" s="106">
        <v>1494.3136400671799</v>
      </c>
      <c r="AD34" s="65">
        <f t="shared" si="5"/>
        <v>7.7758987359048959E-3</v>
      </c>
      <c r="AE34" s="66">
        <v>-7.1226168272236403E-3</v>
      </c>
      <c r="AF34" s="64">
        <v>-5.84777267081781E-2</v>
      </c>
      <c r="AG34" s="64">
        <v>1.4009566919431801E-3</v>
      </c>
      <c r="AH34" s="22"/>
      <c r="AI34" s="106">
        <v>1495.02590174991</v>
      </c>
      <c r="AJ34" s="106">
        <v>1313.9736265742299</v>
      </c>
      <c r="AK34" s="106">
        <v>1477.13855766202</v>
      </c>
      <c r="AL34" s="22"/>
      <c r="AM34" s="64">
        <f t="shared" si="4"/>
        <v>7.242347388187298E-3</v>
      </c>
      <c r="AN34" s="64">
        <f t="shared" si="4"/>
        <v>2.0696982510080009E-3</v>
      </c>
      <c r="AO34" s="65">
        <f t="shared" si="4"/>
        <v>8.3882016283285399E-3</v>
      </c>
      <c r="AP34" s="66">
        <v>-2.7685687379059697E-2</v>
      </c>
      <c r="AQ34" s="22"/>
      <c r="AR34" s="64">
        <v>0.119249642977541</v>
      </c>
      <c r="AS34" s="64">
        <v>1.9351331598698701E-3</v>
      </c>
      <c r="AT34" s="64">
        <v>0.19492847191444501</v>
      </c>
      <c r="AU34" s="64">
        <v>-7.7613962096773695E-2</v>
      </c>
      <c r="AV34" s="67"/>
      <c r="AW34" s="110">
        <v>1497.12125605714</v>
      </c>
    </row>
    <row r="35" spans="1:49" x14ac:dyDescent="0.25">
      <c r="A35" s="41"/>
      <c r="B35" s="41">
        <f t="shared" si="2"/>
        <v>4</v>
      </c>
      <c r="C35" s="101">
        <v>1523898.6</v>
      </c>
      <c r="D35" s="102">
        <v>1090053.3999999999</v>
      </c>
      <c r="E35" s="102"/>
      <c r="F35" s="103"/>
      <c r="G35" s="101">
        <v>371169.3</v>
      </c>
      <c r="H35" s="102">
        <v>188238</v>
      </c>
      <c r="J35" s="103"/>
      <c r="K35" s="105">
        <v>529203.20000000019</v>
      </c>
      <c r="L35" s="106">
        <v>383204.90000000014</v>
      </c>
      <c r="O35" s="109">
        <v>1024057</v>
      </c>
      <c r="Q35" s="61">
        <v>5.3226091553715299E-2</v>
      </c>
      <c r="R35" s="62">
        <v>3.2271117767625104E-2</v>
      </c>
      <c r="S35" s="62">
        <v>5.8449241090020199E-2</v>
      </c>
      <c r="T35" s="22"/>
      <c r="U35" s="106">
        <v>1493.7870844141401</v>
      </c>
      <c r="V35" s="106">
        <v>1312.7953127461001</v>
      </c>
      <c r="W35" s="106">
        <v>1475.8138271258399</v>
      </c>
      <c r="X35" s="22"/>
      <c r="Y35" s="64">
        <f t="shared" si="3"/>
        <v>5.1461639634171608E-3</v>
      </c>
      <c r="Z35" s="64">
        <f t="shared" si="3"/>
        <v>3.5340090544644376E-3</v>
      </c>
      <c r="AA35" s="64">
        <f t="shared" si="3"/>
        <v>5.6247029243639002E-3</v>
      </c>
      <c r="AB35" s="22"/>
      <c r="AC35" s="106">
        <v>1499.10969356951</v>
      </c>
      <c r="AD35" s="65">
        <f t="shared" si="5"/>
        <v>4.3462988489666454E-3</v>
      </c>
      <c r="AE35" s="66">
        <v>1.2856903915974599E-2</v>
      </c>
      <c r="AF35" s="64">
        <v>2.3126138561813902E-2</v>
      </c>
      <c r="AG35" s="64">
        <v>1.1436598502711901E-2</v>
      </c>
      <c r="AH35" s="22"/>
      <c r="AI35" s="106">
        <v>1497.8240031779101</v>
      </c>
      <c r="AJ35" s="106">
        <v>1313.7098106666799</v>
      </c>
      <c r="AK35" s="106">
        <v>1480.51509138457</v>
      </c>
      <c r="AL35" s="22"/>
      <c r="AM35" s="64">
        <f t="shared" si="4"/>
        <v>6.6487727458053314E-3</v>
      </c>
      <c r="AN35" s="64">
        <f t="shared" si="4"/>
        <v>-3.6926631518434672E-3</v>
      </c>
      <c r="AO35" s="65">
        <f t="shared" si="4"/>
        <v>8.8942546374468634E-3</v>
      </c>
      <c r="AP35" s="66">
        <v>3.38834698443725E-3</v>
      </c>
      <c r="AQ35" s="22"/>
      <c r="AR35" s="64">
        <v>0.106351614034754</v>
      </c>
      <c r="AS35" s="64">
        <v>1.6538923986193E-3</v>
      </c>
      <c r="AT35" s="64">
        <v>0.183590254062036</v>
      </c>
      <c r="AU35" s="64">
        <v>-7.8892532425901191E-2</v>
      </c>
      <c r="AV35" s="67"/>
      <c r="AW35" s="110">
        <v>1498.7714316224101</v>
      </c>
    </row>
    <row r="36" spans="1:49" x14ac:dyDescent="0.25">
      <c r="A36" s="41">
        <f t="shared" ref="A36" si="12">A32+1</f>
        <v>2008</v>
      </c>
      <c r="B36" s="41">
        <f t="shared" si="2"/>
        <v>1</v>
      </c>
      <c r="C36" s="101">
        <v>1173886.3</v>
      </c>
      <c r="D36" s="102">
        <v>722911.8</v>
      </c>
      <c r="E36" s="102"/>
      <c r="F36" s="103"/>
      <c r="G36" s="101">
        <v>303906.7</v>
      </c>
      <c r="H36" s="102">
        <v>145850.5</v>
      </c>
      <c r="J36" s="103"/>
      <c r="K36" s="105">
        <v>204064.3</v>
      </c>
      <c r="L36" s="106">
        <v>145996.79999999999</v>
      </c>
      <c r="O36" s="113">
        <v>981216</v>
      </c>
      <c r="Q36" s="61">
        <v>5.7124818350539501E-2</v>
      </c>
      <c r="R36" s="62">
        <v>1.5010928154376799E-2</v>
      </c>
      <c r="S36" s="62">
        <v>6.7798165734729909E-2</v>
      </c>
      <c r="T36" s="22"/>
      <c r="U36" s="106">
        <v>1495.6677313345999</v>
      </c>
      <c r="V36" s="106">
        <v>1313.8404569396901</v>
      </c>
      <c r="W36" s="106">
        <v>1477.86078039625</v>
      </c>
      <c r="X36" s="22"/>
      <c r="Y36" s="64">
        <f t="shared" si="3"/>
        <v>5.1064849974284954E-3</v>
      </c>
      <c r="Z36" s="64">
        <f t="shared" si="3"/>
        <v>3.364788084004644E-3</v>
      </c>
      <c r="AA36" s="64">
        <f t="shared" si="3"/>
        <v>5.6050109063536802E-3</v>
      </c>
      <c r="AB36" s="22"/>
      <c r="AC36" s="106">
        <v>1501.38021316965</v>
      </c>
      <c r="AD36" s="65">
        <f t="shared" si="5"/>
        <v>9.3023020256239874E-3</v>
      </c>
      <c r="AE36" s="66">
        <v>1.38458525561421E-2</v>
      </c>
      <c r="AF36" s="64">
        <v>2.2269415493960502E-2</v>
      </c>
      <c r="AG36" s="64">
        <v>1.48809456074404E-2</v>
      </c>
      <c r="AH36" s="22"/>
      <c r="AI36" s="106">
        <v>1499.9956279140399</v>
      </c>
      <c r="AJ36" s="106">
        <v>1313.1146082057301</v>
      </c>
      <c r="AK36" s="106">
        <v>1483.1525024089799</v>
      </c>
      <c r="AL36" s="22"/>
      <c r="AM36" s="64">
        <f t="shared" si="4"/>
        <v>6.9807136979644913E-3</v>
      </c>
      <c r="AN36" s="64">
        <f t="shared" si="4"/>
        <v>-3.2103816068933533E-3</v>
      </c>
      <c r="AO36" s="65">
        <f t="shared" si="4"/>
        <v>8.919514757560032E-3</v>
      </c>
      <c r="AP36" s="66">
        <v>8.6980919208508797E-3</v>
      </c>
      <c r="AQ36" s="22"/>
      <c r="AR36" s="64">
        <v>8.8041306322877308E-2</v>
      </c>
      <c r="AS36" s="64">
        <v>1.4764501531739399E-3</v>
      </c>
      <c r="AT36" s="64">
        <v>0.16527343216315699</v>
      </c>
      <c r="AU36" s="64">
        <v>-7.8708575993453697E-2</v>
      </c>
      <c r="AV36" s="67"/>
      <c r="AW36" s="110">
        <v>1500.5141650241701</v>
      </c>
    </row>
    <row r="37" spans="1:49" x14ac:dyDescent="0.25">
      <c r="A37" s="41"/>
      <c r="B37" s="41">
        <f t="shared" si="2"/>
        <v>2</v>
      </c>
      <c r="C37" s="101">
        <v>1763565.7</v>
      </c>
      <c r="D37" s="102">
        <v>1059471.6000000001</v>
      </c>
      <c r="E37" s="102"/>
      <c r="F37" s="103"/>
      <c r="G37" s="101">
        <v>383823.8</v>
      </c>
      <c r="H37" s="102">
        <v>163487.70000000001</v>
      </c>
      <c r="J37" s="103"/>
      <c r="K37" s="105">
        <v>866762.59999999986</v>
      </c>
      <c r="L37" s="106">
        <v>644309.39999999991</v>
      </c>
      <c r="O37" s="113">
        <v>904353</v>
      </c>
      <c r="Q37" s="61">
        <v>3.3918930822237597E-2</v>
      </c>
      <c r="R37" s="62">
        <v>-5.9399791516161704E-2</v>
      </c>
      <c r="S37" s="62">
        <v>4.9716933083491302E-2</v>
      </c>
      <c r="T37" s="22"/>
      <c r="U37" s="106">
        <v>1497.5404377846301</v>
      </c>
      <c r="V37" s="106">
        <v>1314.88308524383</v>
      </c>
      <c r="W37" s="106">
        <v>1479.8982106042499</v>
      </c>
      <c r="X37" s="22"/>
      <c r="Y37" s="64">
        <f t="shared" si="3"/>
        <v>5.0688315882849722E-3</v>
      </c>
      <c r="Z37" s="64">
        <f t="shared" si="3"/>
        <v>3.2580460424600499E-3</v>
      </c>
      <c r="AA37" s="64">
        <f t="shared" si="3"/>
        <v>5.5764772532771456E-3</v>
      </c>
      <c r="AB37" s="22"/>
      <c r="AC37" s="106">
        <v>1500.93233086686</v>
      </c>
      <c r="AD37" s="65">
        <f t="shared" si="5"/>
        <v>5.6808302915685172E-3</v>
      </c>
      <c r="AE37" s="66">
        <v>-3.1683368516282899E-3</v>
      </c>
      <c r="AF37" s="64">
        <v>-3.3866986606191099E-2</v>
      </c>
      <c r="AG37" s="64">
        <v>1.10723649042397E-3</v>
      </c>
      <c r="AH37" s="22"/>
      <c r="AI37" s="106">
        <v>1501.2491645520199</v>
      </c>
      <c r="AJ37" s="106">
        <v>1312.3298047528299</v>
      </c>
      <c r="AK37" s="106">
        <v>1484.75918026355</v>
      </c>
      <c r="AL37" s="22"/>
      <c r="AM37" s="64">
        <f t="shared" si="4"/>
        <v>5.7099948541841083E-3</v>
      </c>
      <c r="AN37" s="64">
        <f t="shared" si="4"/>
        <v>-3.5627039086835177E-3</v>
      </c>
      <c r="AO37" s="65">
        <f t="shared" si="4"/>
        <v>7.5217457636067575E-3</v>
      </c>
      <c r="AP37" s="66">
        <v>-1.7663387064041202E-2</v>
      </c>
      <c r="AQ37" s="22"/>
      <c r="AR37" s="64">
        <v>7.9995425786529392E-2</v>
      </c>
      <c r="AS37" s="64">
        <v>1.42419650526839E-3</v>
      </c>
      <c r="AT37" s="64">
        <v>0.15763245685814101</v>
      </c>
      <c r="AU37" s="64">
        <v>-7.9061227576880708E-2</v>
      </c>
      <c r="AV37" s="67"/>
      <c r="AW37" s="110">
        <v>1502.7144555002401</v>
      </c>
    </row>
    <row r="38" spans="1:49" x14ac:dyDescent="0.25">
      <c r="A38" s="41"/>
      <c r="B38" s="41">
        <f t="shared" si="2"/>
        <v>3</v>
      </c>
      <c r="C38" s="101">
        <v>1794679.7</v>
      </c>
      <c r="D38" s="102">
        <v>1036050.2</v>
      </c>
      <c r="E38" s="102"/>
      <c r="F38" s="103"/>
      <c r="G38" s="101">
        <v>382608.8</v>
      </c>
      <c r="H38" s="102">
        <v>176012.5</v>
      </c>
      <c r="J38" s="103"/>
      <c r="K38" s="105">
        <v>842380.5</v>
      </c>
      <c r="L38" s="106">
        <v>510890.40000000014</v>
      </c>
      <c r="O38" s="113">
        <v>981216</v>
      </c>
      <c r="Q38" s="61">
        <v>4.0803407477953899E-2</v>
      </c>
      <c r="R38" s="62">
        <v>-3.1467438826257396E-2</v>
      </c>
      <c r="S38" s="62">
        <v>5.1736977711727798E-2</v>
      </c>
      <c r="T38" s="22"/>
      <c r="U38" s="106">
        <v>1499.4131130513099</v>
      </c>
      <c r="V38" s="106">
        <v>1315.94574735267</v>
      </c>
      <c r="W38" s="106">
        <v>1481.9312669472799</v>
      </c>
      <c r="X38" s="22"/>
      <c r="Y38" s="64">
        <f t="shared" si="3"/>
        <v>5.0398716111814679E-3</v>
      </c>
      <c r="Z38" s="64">
        <f t="shared" si="3"/>
        <v>3.2169112058064719E-3</v>
      </c>
      <c r="AA38" s="64">
        <f t="shared" si="3"/>
        <v>5.5469328243025195E-3</v>
      </c>
      <c r="AB38" s="22"/>
      <c r="AC38" s="106">
        <v>1503.4934537991101</v>
      </c>
      <c r="AD38" s="65">
        <f t="shared" si="5"/>
        <v>6.143163982306632E-3</v>
      </c>
      <c r="AE38" s="66">
        <v>1.4891901083455299E-2</v>
      </c>
      <c r="AF38" s="64">
        <v>1.7172416563434999E-3</v>
      </c>
      <c r="AG38" s="64">
        <v>1.4290949057040701E-2</v>
      </c>
      <c r="AH38" s="22"/>
      <c r="AI38" s="106">
        <v>1502.0042636907599</v>
      </c>
      <c r="AJ38" s="106">
        <v>1312.62727930441</v>
      </c>
      <c r="AK38" s="106">
        <v>1485.6758698127501</v>
      </c>
      <c r="AL38" s="22"/>
      <c r="AM38" s="64">
        <f t="shared" si="4"/>
        <v>4.6677197583546715E-3</v>
      </c>
      <c r="AN38" s="64">
        <f t="shared" si="4"/>
        <v>-1.0246379703450215E-3</v>
      </c>
      <c r="AO38" s="65">
        <f t="shared" si="4"/>
        <v>5.7796285300701911E-3</v>
      </c>
      <c r="AP38" s="66">
        <v>-1.5100535500533E-2</v>
      </c>
      <c r="AQ38" s="22"/>
      <c r="AR38" s="64">
        <v>8.2136888705145891E-2</v>
      </c>
      <c r="AS38" s="64">
        <v>1.51061361143634E-3</v>
      </c>
      <c r="AT38" s="64">
        <v>0.160534905047934</v>
      </c>
      <c r="AU38" s="64">
        <v>-7.9908629954225305E-2</v>
      </c>
      <c r="AV38" s="67"/>
      <c r="AW38" s="110">
        <v>1505.01502475083</v>
      </c>
    </row>
    <row r="39" spans="1:49" x14ac:dyDescent="0.25">
      <c r="A39" s="41"/>
      <c r="B39" s="41">
        <f t="shared" si="2"/>
        <v>4</v>
      </c>
      <c r="C39" s="101">
        <v>1823437.7</v>
      </c>
      <c r="D39" s="102">
        <v>1145526.3999999999</v>
      </c>
      <c r="E39" s="102"/>
      <c r="F39" s="103"/>
      <c r="G39" s="101">
        <v>253908.4</v>
      </c>
      <c r="H39" s="102">
        <v>187298.4</v>
      </c>
      <c r="J39" s="103"/>
      <c r="K39" s="105">
        <v>942801.20000000019</v>
      </c>
      <c r="L39" s="106">
        <v>532098.29999999981</v>
      </c>
      <c r="O39" s="113">
        <v>904353</v>
      </c>
      <c r="Q39" s="61">
        <v>3.2274925533595199E-2</v>
      </c>
      <c r="R39" s="62">
        <v>-2.41554228951349E-2</v>
      </c>
      <c r="S39" s="62">
        <v>4.8218878152865699E-2</v>
      </c>
      <c r="T39" s="22"/>
      <c r="U39" s="106">
        <v>1501.2957863549</v>
      </c>
      <c r="V39" s="106">
        <v>1317.0472804733799</v>
      </c>
      <c r="W39" s="106">
        <v>1483.9682059311599</v>
      </c>
      <c r="X39" s="22"/>
      <c r="Y39" s="64">
        <f t="shared" si="3"/>
        <v>5.0266212762877238E-3</v>
      </c>
      <c r="Z39" s="64">
        <f t="shared" si="3"/>
        <v>3.2388657134869714E-3</v>
      </c>
      <c r="AA39" s="64">
        <f t="shared" si="3"/>
        <v>5.5253438173843428E-3</v>
      </c>
      <c r="AB39" s="22"/>
      <c r="AC39" s="106">
        <v>1504.52327890826</v>
      </c>
      <c r="AD39" s="65">
        <f t="shared" si="5"/>
        <v>3.6112002757180406E-3</v>
      </c>
      <c r="AE39" s="66">
        <v>2.4542039963391101E-2</v>
      </c>
      <c r="AF39" s="64">
        <v>1.3536298821874E-2</v>
      </c>
      <c r="AG39" s="64">
        <v>3.0836109646284502E-2</v>
      </c>
      <c r="AH39" s="22"/>
      <c r="AI39" s="106">
        <v>1502.0690749119201</v>
      </c>
      <c r="AJ39" s="106">
        <v>1313.27810830168</v>
      </c>
      <c r="AK39" s="106">
        <v>1485.7064827818101</v>
      </c>
      <c r="AL39" s="22"/>
      <c r="AM39" s="64">
        <f t="shared" si="4"/>
        <v>2.8341592370020319E-3</v>
      </c>
      <c r="AN39" s="64">
        <f t="shared" si="4"/>
        <v>-3.2861318496268943E-4</v>
      </c>
      <c r="AO39" s="65">
        <f t="shared" si="4"/>
        <v>3.5064765144576793E-3</v>
      </c>
      <c r="AP39" s="66">
        <v>-2.59653298201186E-2</v>
      </c>
      <c r="AQ39" s="22"/>
      <c r="AR39" s="64">
        <v>8.7440590610017493E-2</v>
      </c>
      <c r="AS39" s="64">
        <v>1.7295009298760899E-3</v>
      </c>
      <c r="AT39" s="64">
        <v>0.16608830009799</v>
      </c>
      <c r="AU39" s="64">
        <v>-8.0377210417848594E-2</v>
      </c>
      <c r="AV39" s="67"/>
      <c r="AW39" s="110">
        <v>1507.1541169388399</v>
      </c>
    </row>
    <row r="40" spans="1:49" x14ac:dyDescent="0.25">
      <c r="A40" s="41">
        <f t="shared" ref="A40" si="13">A36+1</f>
        <v>2009</v>
      </c>
      <c r="B40" s="41">
        <f t="shared" si="2"/>
        <v>1</v>
      </c>
      <c r="C40" s="101">
        <v>1101956.6000000001</v>
      </c>
      <c r="D40" s="102">
        <v>706458.5</v>
      </c>
      <c r="E40" s="102"/>
      <c r="F40" s="103"/>
      <c r="G40" s="101">
        <v>185453.5</v>
      </c>
      <c r="H40" s="102">
        <v>139668.1</v>
      </c>
      <c r="J40" s="103"/>
      <c r="K40" s="105">
        <v>85071.4</v>
      </c>
      <c r="L40" s="106">
        <v>52570.400000000001</v>
      </c>
      <c r="O40" s="113">
        <v>904438</v>
      </c>
      <c r="Q40" s="61">
        <v>-4.5226762021518402E-2</v>
      </c>
      <c r="R40" s="62">
        <v>-8.0152750497181804E-2</v>
      </c>
      <c r="S40" s="62">
        <v>-3.8823692461403402E-2</v>
      </c>
      <c r="T40" s="22"/>
      <c r="U40" s="106">
        <v>1503.2010371286001</v>
      </c>
      <c r="V40" s="106">
        <v>1318.20455509821</v>
      </c>
      <c r="W40" s="106">
        <v>1486.0205176227601</v>
      </c>
      <c r="X40" s="22"/>
      <c r="Y40" s="64">
        <f t="shared" si="3"/>
        <v>5.0367509014037637E-3</v>
      </c>
      <c r="Z40" s="64">
        <f t="shared" si="3"/>
        <v>3.3216347810487434E-3</v>
      </c>
      <c r="AA40" s="64">
        <f t="shared" si="3"/>
        <v>5.5213165778187356E-3</v>
      </c>
      <c r="AB40" s="22"/>
      <c r="AC40" s="106">
        <v>1498.6783609264401</v>
      </c>
      <c r="AD40" s="65">
        <f t="shared" si="5"/>
        <v>-1.799578960419268E-3</v>
      </c>
      <c r="AE40" s="66">
        <v>-2.38158213713387E-2</v>
      </c>
      <c r="AF40" s="64">
        <v>-3.8168457382984002E-2</v>
      </c>
      <c r="AG40" s="64">
        <v>-2.16762712051621E-2</v>
      </c>
      <c r="AH40" s="22"/>
      <c r="AI40" s="106">
        <v>1501.05994306358</v>
      </c>
      <c r="AJ40" s="106">
        <v>1314.0061257867901</v>
      </c>
      <c r="AK40" s="106">
        <v>1484.3057754971401</v>
      </c>
      <c r="AL40" s="22"/>
      <c r="AM40" s="64">
        <f t="shared" si="4"/>
        <v>7.0954550115609472E-4</v>
      </c>
      <c r="AN40" s="64">
        <f t="shared" si="4"/>
        <v>6.789335641297356E-4</v>
      </c>
      <c r="AO40" s="65">
        <f t="shared" si="4"/>
        <v>7.7758226904323102E-4</v>
      </c>
      <c r="AP40" s="66">
        <v>-6.9014563480672808E-2</v>
      </c>
      <c r="AQ40" s="22"/>
      <c r="AR40" s="64">
        <v>5.4591621839842501E-2</v>
      </c>
      <c r="AS40" s="64">
        <v>2.0672344337193697E-3</v>
      </c>
      <c r="AT40" s="64">
        <v>0.128055385965748</v>
      </c>
      <c r="AU40" s="64">
        <v>-7.5530998559625598E-2</v>
      </c>
      <c r="AV40" s="67"/>
      <c r="AW40" s="110">
        <v>1505.82952539282</v>
      </c>
    </row>
    <row r="41" spans="1:49" x14ac:dyDescent="0.25">
      <c r="A41" s="41"/>
      <c r="B41" s="41">
        <f t="shared" si="2"/>
        <v>2</v>
      </c>
      <c r="C41" s="101">
        <v>1708257.8</v>
      </c>
      <c r="D41" s="102">
        <v>1052958.1000000001</v>
      </c>
      <c r="E41" s="102"/>
      <c r="F41" s="103"/>
      <c r="G41" s="101">
        <v>299852.2</v>
      </c>
      <c r="H41" s="102">
        <v>176473</v>
      </c>
      <c r="J41" s="103"/>
      <c r="K41" s="105">
        <v>586194.6</v>
      </c>
      <c r="L41" s="106">
        <v>361684.39999999997</v>
      </c>
      <c r="O41" s="113">
        <v>945426</v>
      </c>
      <c r="Q41" s="61">
        <v>-4.9827066069049096E-2</v>
      </c>
      <c r="R41" s="62">
        <v>-2.2741662933819899E-2</v>
      </c>
      <c r="S41" s="62">
        <v>-5.5099957402408098E-2</v>
      </c>
      <c r="T41" s="22"/>
      <c r="U41" s="106">
        <v>1505.1434619884801</v>
      </c>
      <c r="V41" s="106">
        <v>1319.4329320054701</v>
      </c>
      <c r="W41" s="106">
        <v>1488.10270576888</v>
      </c>
      <c r="X41" s="22"/>
      <c r="Y41" s="64">
        <f t="shared" si="3"/>
        <v>5.0770076132953257E-3</v>
      </c>
      <c r="Z41" s="64">
        <f t="shared" si="3"/>
        <v>3.4602671619252678E-3</v>
      </c>
      <c r="AA41" s="64">
        <f t="shared" si="3"/>
        <v>5.5439591087012019E-3</v>
      </c>
      <c r="AB41" s="22"/>
      <c r="AC41" s="106">
        <v>1500.16075538157</v>
      </c>
      <c r="AD41" s="65">
        <f t="shared" si="5"/>
        <v>-5.1406413828425368E-4</v>
      </c>
      <c r="AE41" s="66">
        <v>-1.3507122218754199E-2</v>
      </c>
      <c r="AF41" s="64">
        <v>3.1751216200189901E-3</v>
      </c>
      <c r="AG41" s="64">
        <v>-1.5245350740005E-2</v>
      </c>
      <c r="AH41" s="22"/>
      <c r="AI41" s="106">
        <v>1501.51146760345</v>
      </c>
      <c r="AJ41" s="106">
        <v>1316.84125355009</v>
      </c>
      <c r="AK41" s="106">
        <v>1484.11724510264</v>
      </c>
      <c r="AL41" s="22"/>
      <c r="AM41" s="64">
        <f t="shared" si="4"/>
        <v>1.7472319560507543E-4</v>
      </c>
      <c r="AN41" s="64">
        <f t="shared" si="4"/>
        <v>3.437740102313569E-3</v>
      </c>
      <c r="AO41" s="65">
        <f t="shared" si="4"/>
        <v>-4.3234968299443732E-4</v>
      </c>
      <c r="AP41" s="66">
        <v>-5.6141913317721601E-2</v>
      </c>
      <c r="AQ41" s="22"/>
      <c r="AR41" s="64">
        <v>3.2767874537840802E-2</v>
      </c>
      <c r="AS41" s="64">
        <v>2.4894492095997502E-3</v>
      </c>
      <c r="AT41" s="64">
        <v>0.10180859039009199</v>
      </c>
      <c r="AU41" s="64">
        <v>-7.1530165061851503E-2</v>
      </c>
      <c r="AV41" s="67"/>
      <c r="AW41" s="110">
        <v>1505.9387009857701</v>
      </c>
    </row>
    <row r="42" spans="1:49" x14ac:dyDescent="0.25">
      <c r="A42" s="41"/>
      <c r="B42" s="41">
        <f t="shared" si="2"/>
        <v>3</v>
      </c>
      <c r="C42" s="101">
        <v>1747017.6</v>
      </c>
      <c r="D42" s="102">
        <v>1005662.4</v>
      </c>
      <c r="E42" s="102"/>
      <c r="F42" s="103"/>
      <c r="G42" s="101">
        <v>325675.7</v>
      </c>
      <c r="H42" s="102">
        <v>185615.6</v>
      </c>
      <c r="J42" s="103"/>
      <c r="K42" s="105">
        <v>657627.80000000005</v>
      </c>
      <c r="L42" s="106">
        <v>377810.39999999997</v>
      </c>
      <c r="O42" s="113">
        <v>975889</v>
      </c>
      <c r="Q42" s="61">
        <v>-7.5589719912147704E-2</v>
      </c>
      <c r="R42" s="62">
        <v>-2.65847335003013E-2</v>
      </c>
      <c r="S42" s="62">
        <v>-8.7565301666409107E-2</v>
      </c>
      <c r="T42" s="22"/>
      <c r="U42" s="106">
        <v>1507.13483087798</v>
      </c>
      <c r="V42" s="106">
        <v>1320.7427624265799</v>
      </c>
      <c r="W42" s="106">
        <v>1490.22684763551</v>
      </c>
      <c r="X42" s="22"/>
      <c r="Y42" s="64">
        <f t="shared" si="3"/>
        <v>5.1498267952028165E-3</v>
      </c>
      <c r="Z42" s="64">
        <f t="shared" si="3"/>
        <v>3.6452985114014957E-3</v>
      </c>
      <c r="AA42" s="64">
        <f t="shared" si="3"/>
        <v>5.5978174381317025E-3</v>
      </c>
      <c r="AB42" s="22"/>
      <c r="AC42" s="106">
        <v>1499.57585888676</v>
      </c>
      <c r="AD42" s="65">
        <f t="shared" si="5"/>
        <v>-2.6056614363374475E-3</v>
      </c>
      <c r="AE42" s="66">
        <v>-2.3485443760302597E-2</v>
      </c>
      <c r="AF42" s="64">
        <v>-6.4885838699302997E-3</v>
      </c>
      <c r="AG42" s="64">
        <v>-3.01758980122891E-2</v>
      </c>
      <c r="AH42" s="22"/>
      <c r="AI42" s="106">
        <v>1501.9244032627901</v>
      </c>
      <c r="AJ42" s="106">
        <v>1318.73314746354</v>
      </c>
      <c r="AK42" s="106">
        <v>1484.4879072700901</v>
      </c>
      <c r="AL42" s="22"/>
      <c r="AM42" s="64">
        <f t="shared" si="4"/>
        <v>-5.3169241859274408E-5</v>
      </c>
      <c r="AN42" s="64">
        <f t="shared" si="4"/>
        <v>4.6516389346757947E-3</v>
      </c>
      <c r="AO42" s="65">
        <f t="shared" si="4"/>
        <v>-7.9961084836743801E-4</v>
      </c>
      <c r="AP42" s="66">
        <v>-6.8728021132763994E-2</v>
      </c>
      <c r="AQ42" s="22"/>
      <c r="AR42" s="64">
        <v>1.6954370665896702E-2</v>
      </c>
      <c r="AS42" s="64">
        <v>2.9475113333368602E-3</v>
      </c>
      <c r="AT42" s="64">
        <v>8.1700368442785401E-2</v>
      </c>
      <c r="AU42" s="64">
        <v>-6.7693509110225494E-2</v>
      </c>
      <c r="AV42" s="67"/>
      <c r="AW42" s="110">
        <v>1506.69624969663</v>
      </c>
    </row>
    <row r="43" spans="1:49" x14ac:dyDescent="0.25">
      <c r="A43" s="41"/>
      <c r="B43" s="41">
        <f t="shared" si="2"/>
        <v>4</v>
      </c>
      <c r="C43" s="101">
        <v>2033405.2</v>
      </c>
      <c r="D43" s="102">
        <v>1148594.3</v>
      </c>
      <c r="E43" s="102"/>
      <c r="F43" s="103"/>
      <c r="G43" s="101">
        <v>474918.3</v>
      </c>
      <c r="H43" s="102">
        <v>209722.1</v>
      </c>
      <c r="J43" s="103"/>
      <c r="K43" s="105">
        <v>936370.49999999977</v>
      </c>
      <c r="L43" s="106">
        <v>494538.19999999995</v>
      </c>
      <c r="O43" s="113">
        <v>1045689</v>
      </c>
      <c r="Q43" s="61">
        <v>-2.4872903177076702E-2</v>
      </c>
      <c r="R43" s="62">
        <v>4.3835805530986802E-2</v>
      </c>
      <c r="S43" s="62">
        <v>-3.3288611507553002E-2</v>
      </c>
      <c r="T43" s="22"/>
      <c r="U43" s="106">
        <v>1509.1837995489</v>
      </c>
      <c r="V43" s="106">
        <v>1322.1429762390001</v>
      </c>
      <c r="W43" s="106">
        <v>1492.40157674131</v>
      </c>
      <c r="X43" s="22"/>
      <c r="Y43" s="64">
        <f t="shared" si="3"/>
        <v>5.2541366369593945E-3</v>
      </c>
      <c r="Z43" s="64">
        <f t="shared" si="3"/>
        <v>3.8690302475614669E-3</v>
      </c>
      <c r="AA43" s="64">
        <f t="shared" si="3"/>
        <v>5.6829861828868733E-3</v>
      </c>
      <c r="AB43" s="22"/>
      <c r="AC43" s="106">
        <v>1506.69650923119</v>
      </c>
      <c r="AD43" s="65">
        <f t="shared" si="5"/>
        <v>1.4444644050353173E-3</v>
      </c>
      <c r="AE43" s="66">
        <v>2.5763142185626E-2</v>
      </c>
      <c r="AF43" s="64">
        <v>5.2777597469142998E-2</v>
      </c>
      <c r="AG43" s="64">
        <v>2.3767542178488997E-2</v>
      </c>
      <c r="AH43" s="22"/>
      <c r="AI43" s="106">
        <v>1504.1201950126299</v>
      </c>
      <c r="AJ43" s="106">
        <v>1321.24879704519</v>
      </c>
      <c r="AK43" s="106">
        <v>1486.6959613727099</v>
      </c>
      <c r="AL43" s="22"/>
      <c r="AM43" s="64">
        <f t="shared" si="4"/>
        <v>1.3655298114902958E-3</v>
      </c>
      <c r="AN43" s="64">
        <f t="shared" si="4"/>
        <v>6.0693075542221919E-3</v>
      </c>
      <c r="AO43" s="65">
        <f t="shared" si="4"/>
        <v>6.6599870322114896E-4</v>
      </c>
      <c r="AP43" s="66">
        <v>-1.6246255681793598E-2</v>
      </c>
      <c r="AQ43" s="22"/>
      <c r="AR43" s="64">
        <v>1.1873533352027199E-2</v>
      </c>
      <c r="AS43" s="64">
        <v>3.3988279755400902E-3</v>
      </c>
      <c r="AT43" s="64">
        <v>7.2857955792748091E-2</v>
      </c>
      <c r="AU43" s="64">
        <v>-6.4383250416261001E-2</v>
      </c>
      <c r="AV43" s="67"/>
      <c r="AW43" s="110">
        <v>1508.33447654012</v>
      </c>
    </row>
    <row r="44" spans="1:49" x14ac:dyDescent="0.25">
      <c r="A44" s="41">
        <f t="shared" ref="A44" si="14">A40+1</f>
        <v>2010</v>
      </c>
      <c r="B44" s="41">
        <f t="shared" si="2"/>
        <v>1</v>
      </c>
      <c r="C44" s="101">
        <v>1674571.54</v>
      </c>
      <c r="D44" s="102">
        <v>764473.8</v>
      </c>
      <c r="E44" s="102">
        <v>1674571.54</v>
      </c>
      <c r="F44" s="103"/>
      <c r="G44" s="101">
        <v>395477.2</v>
      </c>
      <c r="H44" s="102">
        <v>157831.70000000001</v>
      </c>
      <c r="I44" s="106">
        <v>395477.2</v>
      </c>
      <c r="J44" s="103"/>
      <c r="K44" s="105">
        <v>409788</v>
      </c>
      <c r="L44" s="106">
        <v>181683.7</v>
      </c>
      <c r="M44" s="106">
        <v>409788</v>
      </c>
      <c r="O44" s="113">
        <v>1089587</v>
      </c>
      <c r="Q44" s="61">
        <v>-6.4320749804423899E-2</v>
      </c>
      <c r="R44" s="62">
        <v>-2.4043869498252598E-2</v>
      </c>
      <c r="S44" s="62">
        <v>-7.1724494074719494E-2</v>
      </c>
      <c r="T44" s="22"/>
      <c r="U44" s="106">
        <v>1511.2942993955601</v>
      </c>
      <c r="V44" s="106">
        <v>1323.6408417743701</v>
      </c>
      <c r="W44" s="106">
        <v>1494.6300537736099</v>
      </c>
      <c r="X44" s="22"/>
      <c r="Y44" s="64">
        <f t="shared" si="3"/>
        <v>5.3840185491220716E-3</v>
      </c>
      <c r="Z44" s="64">
        <f t="shared" si="3"/>
        <v>4.124008413667779E-3</v>
      </c>
      <c r="AA44" s="64">
        <f t="shared" si="3"/>
        <v>5.7936859207186053E-3</v>
      </c>
      <c r="AB44" s="22"/>
      <c r="AC44" s="106">
        <v>1504.86222441512</v>
      </c>
      <c r="AD44" s="65">
        <f t="shared" si="5"/>
        <v>4.1262112337814294E-3</v>
      </c>
      <c r="AE44" s="66">
        <v>-4.8878677768212902E-3</v>
      </c>
      <c r="AF44" s="64">
        <v>-4.46002687493621E-3</v>
      </c>
      <c r="AG44" s="64">
        <v>-6.6900089890943306E-3</v>
      </c>
      <c r="AH44" s="22"/>
      <c r="AI44" s="106">
        <v>1505.3510111927999</v>
      </c>
      <c r="AJ44" s="106">
        <v>1321.6824575120399</v>
      </c>
      <c r="AK44" s="106">
        <v>1488.1266052650401</v>
      </c>
      <c r="AL44" s="22"/>
      <c r="AM44" s="64">
        <f t="shared" si="4"/>
        <v>2.8586920522721826E-3</v>
      </c>
      <c r="AN44" s="64">
        <f t="shared" si="4"/>
        <v>5.8419299382288514E-3</v>
      </c>
      <c r="AO44" s="65">
        <f t="shared" si="4"/>
        <v>2.574152732526036E-3</v>
      </c>
      <c r="AP44" s="66">
        <v>-4.3020939882039005E-2</v>
      </c>
      <c r="AQ44" s="22"/>
      <c r="AR44" s="64">
        <v>3.4895813893845502E-2</v>
      </c>
      <c r="AS44" s="64">
        <v>3.7987884012455702E-3</v>
      </c>
      <c r="AT44" s="64">
        <v>9.4125544276576795E-2</v>
      </c>
      <c r="AU44" s="64">
        <v>-6.3028518783976806E-2</v>
      </c>
      <c r="AV44" s="67"/>
      <c r="AW44" s="110">
        <v>1509.2596012674201</v>
      </c>
    </row>
    <row r="45" spans="1:49" x14ac:dyDescent="0.25">
      <c r="A45" s="41"/>
      <c r="B45" s="41">
        <f t="shared" si="2"/>
        <v>2</v>
      </c>
      <c r="C45" s="101">
        <v>2582693.25</v>
      </c>
      <c r="D45" s="102">
        <v>1118953.3999999999</v>
      </c>
      <c r="E45" s="102">
        <v>2582693.25</v>
      </c>
      <c r="F45" s="103"/>
      <c r="G45" s="101">
        <v>477263.84</v>
      </c>
      <c r="H45" s="102">
        <v>175678.7</v>
      </c>
      <c r="I45" s="106">
        <v>477263.84</v>
      </c>
      <c r="J45" s="103"/>
      <c r="K45" s="105">
        <v>1088300.1000000001</v>
      </c>
      <c r="L45" s="106">
        <v>503666.2</v>
      </c>
      <c r="M45" s="106">
        <v>1088300.1000000001</v>
      </c>
      <c r="O45" s="113">
        <v>1023666</v>
      </c>
      <c r="Q45" s="61">
        <v>-7.2795034964235505E-2</v>
      </c>
      <c r="R45" s="62">
        <v>-8.4733273157116804E-2</v>
      </c>
      <c r="S45" s="62">
        <v>-7.3789363436735492E-2</v>
      </c>
      <c r="T45" s="22"/>
      <c r="U45" s="106">
        <v>1513.4687072558199</v>
      </c>
      <c r="V45" s="106">
        <v>1325.2463671021701</v>
      </c>
      <c r="W45" s="106">
        <v>1496.91335888147</v>
      </c>
      <c r="X45" s="22"/>
      <c r="Y45" s="64">
        <f t="shared" si="3"/>
        <v>5.5311971766074386E-3</v>
      </c>
      <c r="Z45" s="64">
        <f t="shared" si="3"/>
        <v>4.406010306157615E-3</v>
      </c>
      <c r="AA45" s="64">
        <f t="shared" si="3"/>
        <v>5.9207291798033523E-3</v>
      </c>
      <c r="AB45" s="22"/>
      <c r="AC45" s="106">
        <v>1506.1892037594</v>
      </c>
      <c r="AD45" s="65">
        <f t="shared" si="5"/>
        <v>4.0185349178105678E-3</v>
      </c>
      <c r="AE45" s="66">
        <v>-1.2034856074240801E-2</v>
      </c>
      <c r="AF45" s="64">
        <v>-5.0659310224783594E-2</v>
      </c>
      <c r="AG45" s="64">
        <v>-7.7177809593222202E-3</v>
      </c>
      <c r="AH45" s="22"/>
      <c r="AI45" s="106">
        <v>1507.3926893668199</v>
      </c>
      <c r="AJ45" s="106">
        <v>1321.8389708089401</v>
      </c>
      <c r="AK45" s="106">
        <v>1490.30620063373</v>
      </c>
      <c r="AL45" s="22"/>
      <c r="AM45" s="64">
        <f t="shared" si="4"/>
        <v>3.9168676964931315E-3</v>
      </c>
      <c r="AN45" s="64">
        <f t="shared" si="4"/>
        <v>3.795231388276088E-3</v>
      </c>
      <c r="AO45" s="65">
        <f t="shared" si="4"/>
        <v>4.1701257441166817E-3</v>
      </c>
      <c r="AP45" s="66">
        <v>-4.1966903100156001E-2</v>
      </c>
      <c r="AQ45" s="22"/>
      <c r="AR45" s="64">
        <v>4.64233137497101E-2</v>
      </c>
      <c r="AS45" s="64">
        <v>4.1232349825217202E-3</v>
      </c>
      <c r="AT45" s="64">
        <v>0.102593090653186</v>
      </c>
      <c r="AU45" s="64">
        <v>-6.0293011885998095E-2</v>
      </c>
      <c r="AV45" s="67"/>
      <c r="AW45" s="110">
        <v>1510.4764991289901</v>
      </c>
    </row>
    <row r="46" spans="1:49" x14ac:dyDescent="0.25">
      <c r="A46" s="41"/>
      <c r="B46" s="41">
        <f t="shared" si="2"/>
        <v>3</v>
      </c>
      <c r="C46" s="101">
        <v>2617758.1</v>
      </c>
      <c r="D46" s="102">
        <v>1126176.1000000001</v>
      </c>
      <c r="E46" s="102">
        <v>2617758.1</v>
      </c>
      <c r="F46" s="103"/>
      <c r="G46" s="101">
        <v>590197.92000000004</v>
      </c>
      <c r="H46" s="102">
        <v>205544.9</v>
      </c>
      <c r="I46" s="106">
        <v>590197.92000000004</v>
      </c>
      <c r="J46" s="103"/>
      <c r="K46" s="105">
        <v>1225264</v>
      </c>
      <c r="L46" s="106">
        <v>517270.99999999988</v>
      </c>
      <c r="M46" s="106">
        <v>1225264</v>
      </c>
      <c r="O46" s="113">
        <v>1024753</v>
      </c>
      <c r="Q46" s="61">
        <v>-6.3307443255343904E-2</v>
      </c>
      <c r="R46" s="62">
        <v>9.2081178048715601E-3</v>
      </c>
      <c r="S46" s="62">
        <v>-7.8061714715604399E-2</v>
      </c>
      <c r="T46" s="22"/>
      <c r="U46" s="106">
        <v>1515.7053799206899</v>
      </c>
      <c r="V46" s="106">
        <v>1326.9680575500199</v>
      </c>
      <c r="W46" s="106">
        <v>1499.24808943313</v>
      </c>
      <c r="X46" s="22"/>
      <c r="Y46" s="64">
        <f t="shared" si="3"/>
        <v>5.6866505020769509E-3</v>
      </c>
      <c r="Z46" s="64">
        <f t="shared" si="3"/>
        <v>4.7134803994703933E-3</v>
      </c>
      <c r="AA46" s="64">
        <f t="shared" si="3"/>
        <v>6.0536030550877307E-3</v>
      </c>
      <c r="AB46" s="22"/>
      <c r="AC46" s="106">
        <v>1509.37463559515</v>
      </c>
      <c r="AD46" s="65">
        <f t="shared" si="5"/>
        <v>6.5343654676224272E-3</v>
      </c>
      <c r="AE46" s="66">
        <v>-9.213318351019701E-3</v>
      </c>
      <c r="AF46" s="64">
        <v>3.6067898946372801E-2</v>
      </c>
      <c r="AG46" s="64">
        <v>-1.7066662693045302E-2</v>
      </c>
      <c r="AH46" s="22"/>
      <c r="AI46" s="106">
        <v>1510.2959674302599</v>
      </c>
      <c r="AJ46" s="106">
        <v>1324.2820794358699</v>
      </c>
      <c r="AK46" s="106">
        <v>1493.14858423087</v>
      </c>
      <c r="AL46" s="22"/>
      <c r="AM46" s="64">
        <f t="shared" si="4"/>
        <v>5.5738918345580313E-3</v>
      </c>
      <c r="AN46" s="64">
        <f t="shared" si="4"/>
        <v>4.2077746987727593E-3</v>
      </c>
      <c r="AO46" s="65">
        <f t="shared" si="4"/>
        <v>5.8341175555323144E-3</v>
      </c>
      <c r="AP46" s="66">
        <v>-2.6134036239640102E-2</v>
      </c>
      <c r="AQ46" s="22"/>
      <c r="AR46" s="64">
        <v>5.4709589062935403E-2</v>
      </c>
      <c r="AS46" s="64">
        <v>4.3744570864084498E-3</v>
      </c>
      <c r="AT46" s="64">
        <v>0.107356585474304</v>
      </c>
      <c r="AU46" s="64">
        <v>-5.7021453497777097E-2</v>
      </c>
      <c r="AV46" s="67"/>
      <c r="AW46" s="110">
        <v>1512.0227954969901</v>
      </c>
    </row>
    <row r="47" spans="1:49" x14ac:dyDescent="0.25">
      <c r="A47" s="41"/>
      <c r="B47" s="41">
        <f t="shared" si="2"/>
        <v>4</v>
      </c>
      <c r="C47" s="101">
        <v>2881565.55</v>
      </c>
      <c r="D47" s="102">
        <v>1153181.6000000001</v>
      </c>
      <c r="E47" s="102">
        <v>2881565.55</v>
      </c>
      <c r="F47" s="103"/>
      <c r="G47" s="101">
        <v>639218.98</v>
      </c>
      <c r="H47" s="102">
        <v>197888.9</v>
      </c>
      <c r="I47" s="106">
        <v>639218.98</v>
      </c>
      <c r="J47" s="103"/>
      <c r="K47" s="105">
        <v>1382898.9</v>
      </c>
      <c r="L47" s="106">
        <v>552025.90000000014</v>
      </c>
      <c r="M47" s="106">
        <v>1382898.9</v>
      </c>
      <c r="O47" s="113">
        <v>1042546</v>
      </c>
      <c r="Q47" s="61">
        <v>-8.0970718837891087E-2</v>
      </c>
      <c r="R47" s="62">
        <v>-6.8953432276180102E-2</v>
      </c>
      <c r="S47" s="62">
        <v>-8.0483654861329801E-2</v>
      </c>
      <c r="T47" s="22"/>
      <c r="U47" s="106">
        <v>1517.99812449147</v>
      </c>
      <c r="V47" s="106">
        <v>1328.809122616</v>
      </c>
      <c r="W47" s="106">
        <v>1501.6262309615599</v>
      </c>
      <c r="X47" s="22"/>
      <c r="Y47" s="64">
        <f t="shared" si="3"/>
        <v>5.8404582299416141E-3</v>
      </c>
      <c r="Z47" s="64">
        <f t="shared" si="3"/>
        <v>5.0419254927802637E-3</v>
      </c>
      <c r="AA47" s="64">
        <f t="shared" si="3"/>
        <v>6.1810804571731381E-3</v>
      </c>
      <c r="AB47" s="22"/>
      <c r="AC47" s="106">
        <v>1509.90105260768</v>
      </c>
      <c r="AD47" s="65">
        <f t="shared" si="5"/>
        <v>2.1268671937955119E-3</v>
      </c>
      <c r="AE47" s="66">
        <v>-3.5802904636597604E-2</v>
      </c>
      <c r="AF47" s="64">
        <v>-3.4359213404342302E-2</v>
      </c>
      <c r="AG47" s="64">
        <v>-3.3643247959545798E-2</v>
      </c>
      <c r="AH47" s="22"/>
      <c r="AI47" s="106">
        <v>1513.48134307134</v>
      </c>
      <c r="AJ47" s="106">
        <v>1325.3497007288199</v>
      </c>
      <c r="AK47" s="106">
        <v>1496.94219027138</v>
      </c>
      <c r="AL47" s="22"/>
      <c r="AM47" s="64">
        <f t="shared" si="4"/>
        <v>6.2236702158178225E-3</v>
      </c>
      <c r="AN47" s="64">
        <f t="shared" si="4"/>
        <v>3.103808830555721E-3</v>
      </c>
      <c r="AO47" s="65">
        <f t="shared" si="4"/>
        <v>6.8919464133132546E-3</v>
      </c>
      <c r="AP47" s="66">
        <v>-4.0603433097604495E-2</v>
      </c>
      <c r="AQ47" s="22"/>
      <c r="AR47" s="64">
        <v>5.8779181661034297E-2</v>
      </c>
      <c r="AS47" s="64">
        <v>4.5657574764804898E-3</v>
      </c>
      <c r="AT47" s="64">
        <v>0.107495930712997</v>
      </c>
      <c r="AU47" s="64">
        <v>-5.3282506528443303E-2</v>
      </c>
      <c r="AV47" s="67"/>
      <c r="AW47" s="110">
        <v>1514.0461294377201</v>
      </c>
    </row>
    <row r="48" spans="1:49" x14ac:dyDescent="0.25">
      <c r="A48" s="41">
        <f t="shared" ref="A48" si="15">A44+1</f>
        <v>2011</v>
      </c>
      <c r="B48" s="41">
        <f t="shared" si="2"/>
        <v>1</v>
      </c>
      <c r="C48" s="101">
        <v>2535278.2200000002</v>
      </c>
      <c r="D48" s="102">
        <v>861545</v>
      </c>
      <c r="E48" s="102">
        <v>2003783.54</v>
      </c>
      <c r="F48" s="103"/>
      <c r="G48" s="101">
        <v>523363.82</v>
      </c>
      <c r="H48" s="102">
        <v>167446.5</v>
      </c>
      <c r="I48" s="106">
        <v>434753.83</v>
      </c>
      <c r="J48" s="103"/>
      <c r="K48" s="105">
        <v>1051863.3</v>
      </c>
      <c r="L48" s="106">
        <v>408378.7</v>
      </c>
      <c r="M48" s="106">
        <v>932002</v>
      </c>
      <c r="O48" s="113">
        <v>1056848</v>
      </c>
      <c r="Q48" s="61">
        <v>3.22221613442252E-3</v>
      </c>
      <c r="R48" s="62">
        <v>-1.6462823792996899E-2</v>
      </c>
      <c r="S48" s="62">
        <v>9.7591080248139398E-3</v>
      </c>
      <c r="T48" s="22"/>
      <c r="U48" s="106">
        <v>1520.33679135429</v>
      </c>
      <c r="V48" s="106">
        <v>1330.77334730552</v>
      </c>
      <c r="W48" s="106">
        <v>1504.03489014259</v>
      </c>
      <c r="X48" s="22"/>
      <c r="Y48" s="64">
        <f t="shared" si="3"/>
        <v>5.9832766935907777E-3</v>
      </c>
      <c r="Z48" s="64">
        <f t="shared" si="3"/>
        <v>5.3885505086022079E-3</v>
      </c>
      <c r="AA48" s="64">
        <f t="shared" si="3"/>
        <v>6.2924175418759276E-3</v>
      </c>
      <c r="AB48" s="22"/>
      <c r="AC48" s="106">
        <v>1520.65901296773</v>
      </c>
      <c r="AD48" s="65">
        <f t="shared" si="5"/>
        <v>1.0497165983915702E-2</v>
      </c>
      <c r="AE48" s="66">
        <v>2.2313980630228998E-2</v>
      </c>
      <c r="AF48" s="64">
        <v>7.9403776841193603E-3</v>
      </c>
      <c r="AG48" s="64">
        <v>2.6890586905295503E-2</v>
      </c>
      <c r="AH48" s="22"/>
      <c r="AI48" s="106">
        <v>1518.42761490471</v>
      </c>
      <c r="AJ48" s="106">
        <v>1328.33302715781</v>
      </c>
      <c r="AK48" s="106">
        <v>1502.3217422545399</v>
      </c>
      <c r="AL48" s="22"/>
      <c r="AM48" s="64">
        <f t="shared" si="4"/>
        <v>8.6867472202039053E-3</v>
      </c>
      <c r="AN48" s="64">
        <f t="shared" si="4"/>
        <v>5.0318967373519374E-3</v>
      </c>
      <c r="AO48" s="65">
        <f t="shared" si="4"/>
        <v>9.5389309883158191E-3</v>
      </c>
      <c r="AP48" s="66">
        <v>3.3665845457260597E-2</v>
      </c>
      <c r="AQ48" s="22"/>
      <c r="AR48" s="64">
        <v>8.4243555543263404E-2</v>
      </c>
      <c r="AS48" s="64">
        <v>4.71610777637658E-3</v>
      </c>
      <c r="AT48" s="64">
        <v>0.13079890118710702</v>
      </c>
      <c r="AU48" s="64">
        <v>-5.1271453420220506E-2</v>
      </c>
      <c r="AV48" s="67"/>
      <c r="AW48" s="110">
        <v>1517.3478572689901</v>
      </c>
    </row>
    <row r="49" spans="1:49" x14ac:dyDescent="0.25">
      <c r="A49" s="41"/>
      <c r="B49" s="41">
        <f t="shared" si="2"/>
        <v>2</v>
      </c>
      <c r="C49" s="101">
        <v>3454541.41</v>
      </c>
      <c r="D49" s="102">
        <v>1284303.8999999999</v>
      </c>
      <c r="E49" s="102">
        <v>3104481.57</v>
      </c>
      <c r="F49" s="103"/>
      <c r="G49" s="101">
        <v>628728.13</v>
      </c>
      <c r="H49" s="102">
        <v>193573</v>
      </c>
      <c r="I49" s="106">
        <v>558717.38</v>
      </c>
      <c r="J49" s="103"/>
      <c r="K49" s="105">
        <v>2116807.9000000004</v>
      </c>
      <c r="L49" s="106">
        <v>877462.60000000009</v>
      </c>
      <c r="M49" s="106">
        <v>1971294.9</v>
      </c>
      <c r="O49" s="113">
        <v>1026581</v>
      </c>
      <c r="Q49" s="61">
        <v>1.7616253469200201E-2</v>
      </c>
      <c r="R49" s="62">
        <v>1.5867625449959598E-3</v>
      </c>
      <c r="S49" s="62">
        <v>1.8834666395878198E-2</v>
      </c>
      <c r="T49" s="22"/>
      <c r="U49" s="106">
        <v>1522.70617022532</v>
      </c>
      <c r="V49" s="106">
        <v>1332.86020703449</v>
      </c>
      <c r="W49" s="106">
        <v>1506.45614342363</v>
      </c>
      <c r="X49" s="22"/>
      <c r="Y49" s="64">
        <f t="shared" si="3"/>
        <v>6.1035044366719582E-3</v>
      </c>
      <c r="Z49" s="64">
        <f t="shared" si="3"/>
        <v>5.7452260359471818E-3</v>
      </c>
      <c r="AA49" s="64">
        <f t="shared" si="3"/>
        <v>6.374974533790434E-3</v>
      </c>
      <c r="AB49" s="22"/>
      <c r="AC49" s="106">
        <v>1524.46779557224</v>
      </c>
      <c r="AD49" s="65">
        <f t="shared" si="5"/>
        <v>1.2135654516190364E-2</v>
      </c>
      <c r="AE49" s="66">
        <v>2.4946280887485298E-2</v>
      </c>
      <c r="AF49" s="64">
        <v>3.0830326311208901E-2</v>
      </c>
      <c r="AG49" s="64">
        <v>1.9768581007269602E-2</v>
      </c>
      <c r="AH49" s="22"/>
      <c r="AI49" s="106">
        <v>1521.97316748349</v>
      </c>
      <c r="AJ49" s="106">
        <v>1329.9358506578701</v>
      </c>
      <c r="AK49" s="106">
        <v>1506.3627519624899</v>
      </c>
      <c r="AL49" s="22"/>
      <c r="AM49" s="64">
        <f t="shared" si="4"/>
        <v>9.6726474922699257E-3</v>
      </c>
      <c r="AN49" s="64">
        <f t="shared" si="4"/>
        <v>6.1254661329699367E-3</v>
      </c>
      <c r="AO49" s="65">
        <f t="shared" si="4"/>
        <v>1.0773994848798374E-2</v>
      </c>
      <c r="AP49" s="66">
        <v>3.7277356236446596E-2</v>
      </c>
      <c r="AQ49" s="22"/>
      <c r="AR49" s="64">
        <v>0.108839098400991</v>
      </c>
      <c r="AS49" s="64">
        <v>4.84055968174183E-3</v>
      </c>
      <c r="AT49" s="64">
        <v>0.15330792575913801</v>
      </c>
      <c r="AU49" s="64">
        <v>-4.93093870398894E-2</v>
      </c>
      <c r="AV49" s="67"/>
      <c r="AW49" s="110">
        <v>1520.8078602027399</v>
      </c>
    </row>
    <row r="50" spans="1:49" x14ac:dyDescent="0.25">
      <c r="A50" s="41"/>
      <c r="B50" s="41">
        <f t="shared" si="2"/>
        <v>3</v>
      </c>
      <c r="C50" s="101">
        <v>3629016.22</v>
      </c>
      <c r="D50" s="102">
        <v>1359596.9</v>
      </c>
      <c r="E50" s="102">
        <v>3182620.24</v>
      </c>
      <c r="F50" s="103"/>
      <c r="G50" s="101">
        <v>740800.75</v>
      </c>
      <c r="H50" s="102">
        <v>212346.8</v>
      </c>
      <c r="I50" s="106">
        <v>628781.15</v>
      </c>
      <c r="J50" s="103"/>
      <c r="K50" s="105">
        <v>2602204.2000000002</v>
      </c>
      <c r="L50" s="106">
        <v>1020711.5999999999</v>
      </c>
      <c r="M50" s="106">
        <v>2267839.6999999997</v>
      </c>
      <c r="O50" s="113">
        <v>1033958</v>
      </c>
      <c r="Q50" s="61">
        <v>2.5308572189410298E-2</v>
      </c>
      <c r="R50" s="62">
        <v>-1.3929077493003199E-2</v>
      </c>
      <c r="S50" s="62">
        <v>2.9014334240998699E-2</v>
      </c>
      <c r="T50" s="22"/>
      <c r="U50" s="106">
        <v>1525.0912522092599</v>
      </c>
      <c r="V50" s="106">
        <v>1335.0681482923301</v>
      </c>
      <c r="W50" s="106">
        <v>1508.87267719632</v>
      </c>
      <c r="X50" s="22"/>
      <c r="Y50" s="64">
        <f t="shared" si="3"/>
        <v>6.1924120695944218E-3</v>
      </c>
      <c r="Z50" s="64">
        <f t="shared" si="3"/>
        <v>6.1042092884024957E-3</v>
      </c>
      <c r="AA50" s="64">
        <f t="shared" si="3"/>
        <v>6.41960982376788E-3</v>
      </c>
      <c r="AB50" s="22"/>
      <c r="AC50" s="106">
        <v>1527.6221094282</v>
      </c>
      <c r="AD50" s="65">
        <f t="shared" si="5"/>
        <v>1.2089426576229023E-2</v>
      </c>
      <c r="AE50" s="66">
        <v>1.91961610127966E-2</v>
      </c>
      <c r="AF50" s="64">
        <v>1.9351054946008299E-2</v>
      </c>
      <c r="AG50" s="64">
        <v>1.7799326579237301E-2</v>
      </c>
      <c r="AH50" s="22"/>
      <c r="AI50" s="106">
        <v>1525.7024933269199</v>
      </c>
      <c r="AJ50" s="106">
        <v>1331.7401350484299</v>
      </c>
      <c r="AK50" s="106">
        <v>1509.9941779625001</v>
      </c>
      <c r="AL50" s="22"/>
      <c r="AM50" s="64">
        <f t="shared" si="4"/>
        <v>1.0200997836784298E-2</v>
      </c>
      <c r="AN50" s="64">
        <f t="shared" si="4"/>
        <v>5.6317726626164966E-3</v>
      </c>
      <c r="AO50" s="65">
        <f t="shared" si="4"/>
        <v>1.1281927270692549E-2</v>
      </c>
      <c r="AP50" s="66">
        <v>3.3751991911816E-2</v>
      </c>
      <c r="AQ50" s="22"/>
      <c r="AR50" s="64">
        <v>0.130656282464752</v>
      </c>
      <c r="AS50" s="64">
        <v>4.9448500428935999E-3</v>
      </c>
      <c r="AT50" s="64">
        <v>0.17301457547795099</v>
      </c>
      <c r="AU50" s="64">
        <v>-4.7303143056092803E-2</v>
      </c>
      <c r="AV50" s="67"/>
      <c r="AW50" s="110">
        <v>1524.30262000484</v>
      </c>
    </row>
    <row r="51" spans="1:49" x14ac:dyDescent="0.25">
      <c r="A51" s="41"/>
      <c r="B51" s="41">
        <f t="shared" si="2"/>
        <v>4</v>
      </c>
      <c r="C51" s="101">
        <v>3554927.49</v>
      </c>
      <c r="D51" s="102">
        <v>1386394.6</v>
      </c>
      <c r="E51" s="102">
        <v>3152693.07</v>
      </c>
      <c r="F51" s="103"/>
      <c r="G51" s="101">
        <v>643346.9</v>
      </c>
      <c r="H51" s="102">
        <v>217653.4</v>
      </c>
      <c r="I51" s="106">
        <v>641432.67000000004</v>
      </c>
      <c r="J51" s="103"/>
      <c r="K51" s="105">
        <v>1889763.3999999994</v>
      </c>
      <c r="L51" s="106">
        <v>673823.30000000028</v>
      </c>
      <c r="M51" s="106">
        <v>1512263.4000000004</v>
      </c>
      <c r="O51" s="113">
        <v>1058363</v>
      </c>
      <c r="Q51" s="61">
        <v>-6.2199266028746897E-2</v>
      </c>
      <c r="R51" s="62">
        <v>-0.14375344183115599</v>
      </c>
      <c r="S51" s="62">
        <v>-4.54176492416377E-2</v>
      </c>
      <c r="T51" s="22"/>
      <c r="U51" s="106">
        <v>1527.47812942664</v>
      </c>
      <c r="V51" s="106">
        <v>1337.3957167411199</v>
      </c>
      <c r="W51" s="106">
        <v>1511.2683550189599</v>
      </c>
      <c r="X51" s="22"/>
      <c r="Y51" s="64">
        <f t="shared" si="3"/>
        <v>6.2450702555023607E-3</v>
      </c>
      <c r="Z51" s="64">
        <f t="shared" si="3"/>
        <v>6.4618717458950758E-3</v>
      </c>
      <c r="AA51" s="64">
        <f t="shared" si="3"/>
        <v>6.4211212208418189E-3</v>
      </c>
      <c r="AB51" s="22"/>
      <c r="AC51" s="106">
        <v>1521.25820282377</v>
      </c>
      <c r="AD51" s="65">
        <f t="shared" si="5"/>
        <v>7.5217844218835594E-3</v>
      </c>
      <c r="AE51" s="66">
        <v>-6.00853682960278E-2</v>
      </c>
      <c r="AF51" s="64">
        <v>-9.2033952396039495E-2</v>
      </c>
      <c r="AG51" s="64">
        <v>-5.3463374980270803E-2</v>
      </c>
      <c r="AH51" s="22"/>
      <c r="AI51" s="106">
        <v>1527.26673965337</v>
      </c>
      <c r="AJ51" s="106">
        <v>1332.2237677976</v>
      </c>
      <c r="AK51" s="106">
        <v>1512.07292759282</v>
      </c>
      <c r="AL51" s="22"/>
      <c r="AM51" s="64">
        <f t="shared" si="4"/>
        <v>9.1084020593574788E-3</v>
      </c>
      <c r="AN51" s="64">
        <f t="shared" si="4"/>
        <v>5.1866062707826011E-3</v>
      </c>
      <c r="AO51" s="65">
        <f t="shared" si="4"/>
        <v>1.0107763292246386E-2</v>
      </c>
      <c r="AP51" s="66">
        <v>-4.8917149120934804E-2</v>
      </c>
      <c r="AQ51" s="22"/>
      <c r="AR51" s="64">
        <v>0.130064639680493</v>
      </c>
      <c r="AS51" s="64">
        <v>5.0330931210169202E-3</v>
      </c>
      <c r="AT51" s="64">
        <v>0.16856116745670099</v>
      </c>
      <c r="AU51" s="64">
        <v>-4.3529620897225202E-2</v>
      </c>
      <c r="AV51" s="67"/>
      <c r="AW51" s="110">
        <v>1526.2736128722499</v>
      </c>
    </row>
    <row r="52" spans="1:49" x14ac:dyDescent="0.25">
      <c r="A52" s="41">
        <f t="shared" ref="A52" si="16">A48+1</f>
        <v>2012</v>
      </c>
      <c r="B52" s="41">
        <f t="shared" si="2"/>
        <v>1</v>
      </c>
      <c r="C52" s="101">
        <v>3192126.52</v>
      </c>
      <c r="D52" s="102">
        <v>998500</v>
      </c>
      <c r="E52" s="102">
        <v>2368404.44</v>
      </c>
      <c r="F52" s="103"/>
      <c r="G52" s="101">
        <v>578355.98</v>
      </c>
      <c r="H52" s="102">
        <v>184433</v>
      </c>
      <c r="I52" s="106">
        <v>485040.91</v>
      </c>
      <c r="J52" s="103"/>
      <c r="K52" s="105">
        <v>1546953.7</v>
      </c>
      <c r="L52" s="106">
        <v>708415.7</v>
      </c>
      <c r="M52" s="106">
        <v>1408329.6</v>
      </c>
      <c r="O52" s="113">
        <v>1115234</v>
      </c>
      <c r="Q52" s="61">
        <v>6.0152366707075001E-2</v>
      </c>
      <c r="R52" s="62">
        <v>-9.16612932478756E-3</v>
      </c>
      <c r="S52" s="62">
        <v>7.8401538517805403E-2</v>
      </c>
      <c r="T52" s="22"/>
      <c r="U52" s="106">
        <v>1529.8544757837701</v>
      </c>
      <c r="V52" s="106">
        <v>1339.8405874755899</v>
      </c>
      <c r="W52" s="106">
        <v>1513.62885384573</v>
      </c>
      <c r="X52" s="22"/>
      <c r="Y52" s="64">
        <f t="shared" si="3"/>
        <v>6.2602473896602451E-3</v>
      </c>
      <c r="Z52" s="64">
        <f t="shared" si="3"/>
        <v>6.8135119991912241E-3</v>
      </c>
      <c r="AA52" s="64">
        <f t="shared" si="3"/>
        <v>6.3788172508620899E-3</v>
      </c>
      <c r="AB52" s="22"/>
      <c r="AC52" s="106">
        <v>1535.8697124544799</v>
      </c>
      <c r="AD52" s="65">
        <f t="shared" si="5"/>
        <v>1.0002702352754689E-2</v>
      </c>
      <c r="AE52" s="66">
        <v>4.4723629140665307E-2</v>
      </c>
      <c r="AF52" s="64">
        <v>3.5344936048508704E-2</v>
      </c>
      <c r="AG52" s="64">
        <v>5.1632372744090702E-2</v>
      </c>
      <c r="AH52" s="22"/>
      <c r="AI52" s="106">
        <v>1531.39734954042</v>
      </c>
      <c r="AJ52" s="106">
        <v>1335.38948093826</v>
      </c>
      <c r="AK52" s="106">
        <v>1516.3057704231001</v>
      </c>
      <c r="AL52" s="22"/>
      <c r="AM52" s="64">
        <f t="shared" si="4"/>
        <v>8.5415560863095763E-3</v>
      </c>
      <c r="AN52" s="64">
        <f t="shared" si="4"/>
        <v>5.3122625397250545E-3</v>
      </c>
      <c r="AO52" s="65">
        <f t="shared" si="4"/>
        <v>9.3082778310684677E-3</v>
      </c>
      <c r="AP52" s="66">
        <v>5.6594905615056097E-2</v>
      </c>
      <c r="AQ52" s="22"/>
      <c r="AR52" s="64">
        <v>0.13901877445359301</v>
      </c>
      <c r="AS52" s="64">
        <v>5.1080041755842695E-3</v>
      </c>
      <c r="AT52" s="64">
        <v>0.174693334486968</v>
      </c>
      <c r="AU52" s="64">
        <v>-4.0782564208959607E-2</v>
      </c>
      <c r="AV52" s="67"/>
      <c r="AW52" s="110">
        <v>1530.3645740297</v>
      </c>
    </row>
    <row r="53" spans="1:49" x14ac:dyDescent="0.25">
      <c r="A53" s="41"/>
      <c r="B53" s="41">
        <f t="shared" si="2"/>
        <v>2</v>
      </c>
      <c r="C53" s="101">
        <v>4543685.33</v>
      </c>
      <c r="D53" s="102">
        <v>1428994.7</v>
      </c>
      <c r="E53" s="102">
        <v>3446312.82</v>
      </c>
      <c r="F53" s="103"/>
      <c r="G53" s="101">
        <v>749823.31</v>
      </c>
      <c r="H53" s="102">
        <v>221216.5</v>
      </c>
      <c r="I53" s="106">
        <v>632811.91</v>
      </c>
      <c r="J53" s="103"/>
      <c r="K53" s="105">
        <v>2518335.5999999996</v>
      </c>
      <c r="L53" s="106">
        <v>1154227.7</v>
      </c>
      <c r="M53" s="106">
        <v>2303092.6</v>
      </c>
      <c r="O53" s="113">
        <v>1018208</v>
      </c>
      <c r="Q53" s="61">
        <v>2.75737244235278E-2</v>
      </c>
      <c r="R53" s="62">
        <v>3.9910227771756498E-2</v>
      </c>
      <c r="S53" s="62">
        <v>2.51330177002091E-2</v>
      </c>
      <c r="T53" s="22"/>
      <c r="U53" s="106">
        <v>1532.20407773282</v>
      </c>
      <c r="V53" s="106">
        <v>1342.3914510003599</v>
      </c>
      <c r="W53" s="106">
        <v>1515.9370120277499</v>
      </c>
      <c r="X53" s="22"/>
      <c r="Y53" s="64">
        <f t="shared" si="3"/>
        <v>6.2375182377403249E-3</v>
      </c>
      <c r="Z53" s="64">
        <f t="shared" si="3"/>
        <v>7.1509704585419609E-3</v>
      </c>
      <c r="AA53" s="64">
        <f t="shared" si="3"/>
        <v>6.293491281182062E-3</v>
      </c>
      <c r="AB53" s="22"/>
      <c r="AC53" s="106">
        <v>1534.9614501751701</v>
      </c>
      <c r="AD53" s="65">
        <f t="shared" si="5"/>
        <v>6.8834872297129923E-3</v>
      </c>
      <c r="AE53" s="66">
        <v>1.62460423122666E-2</v>
      </c>
      <c r="AF53" s="64">
        <v>8.8986345038175291E-2</v>
      </c>
      <c r="AG53" s="64">
        <v>1.5933038005709799E-3</v>
      </c>
      <c r="AH53" s="22"/>
      <c r="AI53" s="106">
        <v>1533.33684594394</v>
      </c>
      <c r="AJ53" s="106">
        <v>1337.4838392737199</v>
      </c>
      <c r="AK53" s="106">
        <v>1518.2909834177201</v>
      </c>
      <c r="AL53" s="22"/>
      <c r="AM53" s="64">
        <f t="shared" si="4"/>
        <v>7.4664118285603376E-3</v>
      </c>
      <c r="AN53" s="64">
        <f t="shared" si="4"/>
        <v>5.6754531522074103E-3</v>
      </c>
      <c r="AO53" s="65">
        <f t="shared" si="4"/>
        <v>7.9185650599034041E-3</v>
      </c>
      <c r="AP53" s="66">
        <v>9.3742394949144301E-3</v>
      </c>
      <c r="AQ53" s="22"/>
      <c r="AR53" s="64">
        <v>0.141342642229694</v>
      </c>
      <c r="AS53" s="64">
        <v>5.1710368591998297E-3</v>
      </c>
      <c r="AT53" s="64">
        <v>0.173826805660759</v>
      </c>
      <c r="AU53" s="64">
        <v>-3.7655200290265201E-2</v>
      </c>
      <c r="AV53" s="67"/>
      <c r="AW53" s="110">
        <v>1534.0283927764699</v>
      </c>
    </row>
    <row r="54" spans="1:49" x14ac:dyDescent="0.25">
      <c r="A54" s="41"/>
      <c r="B54" s="41">
        <f t="shared" si="2"/>
        <v>3</v>
      </c>
      <c r="C54" s="101">
        <v>4364304.47</v>
      </c>
      <c r="D54" s="102">
        <v>1490518</v>
      </c>
      <c r="E54" s="102">
        <v>3371214.16</v>
      </c>
      <c r="F54" s="103"/>
      <c r="G54" s="101">
        <v>682813.81</v>
      </c>
      <c r="H54" s="102">
        <v>209787</v>
      </c>
      <c r="I54" s="106">
        <v>609411.56999999995</v>
      </c>
      <c r="J54" s="103"/>
      <c r="K54" s="105">
        <v>3032266.9000000004</v>
      </c>
      <c r="L54" s="106">
        <v>1188423.3000000003</v>
      </c>
      <c r="M54" s="106">
        <v>2397184.0999999996</v>
      </c>
      <c r="O54" s="113">
        <v>1032453</v>
      </c>
      <c r="Q54" s="61">
        <v>-2.4405007901063903E-2</v>
      </c>
      <c r="R54" s="62">
        <v>-0.149686488399454</v>
      </c>
      <c r="S54" s="62">
        <v>-8.1057985211077706E-3</v>
      </c>
      <c r="T54" s="22"/>
      <c r="U54" s="106">
        <v>1534.51448124886</v>
      </c>
      <c r="V54" s="106">
        <v>1345.03642493698</v>
      </c>
      <c r="W54" s="106">
        <v>1518.18056801229</v>
      </c>
      <c r="X54" s="22"/>
      <c r="Y54" s="64">
        <f t="shared" si="3"/>
        <v>6.1787968594990694E-3</v>
      </c>
      <c r="Z54" s="64">
        <f t="shared" si="3"/>
        <v>7.4664927460070807E-3</v>
      </c>
      <c r="AA54" s="64">
        <f t="shared" si="3"/>
        <v>6.1687715316478542E-3</v>
      </c>
      <c r="AB54" s="22"/>
      <c r="AC54" s="106">
        <v>1532.0739804587499</v>
      </c>
      <c r="AD54" s="65">
        <f t="shared" si="5"/>
        <v>2.9142488859474902E-3</v>
      </c>
      <c r="AE54" s="66">
        <v>-3.3650591215664404E-2</v>
      </c>
      <c r="AF54" s="64">
        <v>-7.19345571315083E-2</v>
      </c>
      <c r="AG54" s="64">
        <v>-3.1735344901596803E-2</v>
      </c>
      <c r="AH54" s="22"/>
      <c r="AI54" s="106">
        <v>1535.43903958032</v>
      </c>
      <c r="AJ54" s="106">
        <v>1337.2612318101901</v>
      </c>
      <c r="AK54" s="106">
        <v>1520.54352265034</v>
      </c>
      <c r="AL54" s="22"/>
      <c r="AM54" s="64">
        <f t="shared" si="4"/>
        <v>6.3816807640975082E-3</v>
      </c>
      <c r="AN54" s="64">
        <f t="shared" si="4"/>
        <v>4.1457763541528081E-3</v>
      </c>
      <c r="AO54" s="65">
        <f t="shared" si="4"/>
        <v>6.9863479222644909E-3</v>
      </c>
      <c r="AP54" s="66">
        <v>-4.7540957659997905E-2</v>
      </c>
      <c r="AQ54" s="22"/>
      <c r="AR54" s="64">
        <v>0.13476068401482899</v>
      </c>
      <c r="AS54" s="64">
        <v>5.2287118087996102E-3</v>
      </c>
      <c r="AT54" s="64">
        <v>0.16352383086101402</v>
      </c>
      <c r="AU54" s="64">
        <v>-3.3991858654984698E-2</v>
      </c>
      <c r="AV54" s="67"/>
      <c r="AW54" s="110">
        <v>1536.94479776613</v>
      </c>
    </row>
    <row r="55" spans="1:49" x14ac:dyDescent="0.25">
      <c r="A55" s="41"/>
      <c r="B55" s="41">
        <f t="shared" si="2"/>
        <v>4</v>
      </c>
      <c r="C55" s="101">
        <v>4588303.2300000004</v>
      </c>
      <c r="D55" s="102">
        <v>1580469.1</v>
      </c>
      <c r="E55" s="102">
        <v>3667475.22</v>
      </c>
      <c r="F55" s="103"/>
      <c r="G55" s="101">
        <v>731757.34</v>
      </c>
      <c r="H55" s="102">
        <v>239100.79999999999</v>
      </c>
      <c r="I55" s="106">
        <v>724906</v>
      </c>
      <c r="J55" s="103"/>
      <c r="K55" s="105">
        <v>2231039.8999999994</v>
      </c>
      <c r="L55" s="106">
        <v>831881.59999999963</v>
      </c>
      <c r="M55" s="106">
        <v>1739166.2999999998</v>
      </c>
      <c r="O55" s="113">
        <v>1135294</v>
      </c>
      <c r="Q55" s="61">
        <v>1.3423534560001799E-2</v>
      </c>
      <c r="R55" s="62">
        <v>-0.124365637832177</v>
      </c>
      <c r="S55" s="62">
        <v>4.16671960598409E-2</v>
      </c>
      <c r="T55" s="22"/>
      <c r="U55" s="106">
        <v>1536.77495566477</v>
      </c>
      <c r="V55" s="106">
        <v>1347.76612129621</v>
      </c>
      <c r="W55" s="106">
        <v>1520.3488310602099</v>
      </c>
      <c r="X55" s="22"/>
      <c r="Y55" s="64">
        <f t="shared" si="3"/>
        <v>6.0863891004578896E-3</v>
      </c>
      <c r="Z55" s="64">
        <f t="shared" si="3"/>
        <v>7.7541780830283624E-3</v>
      </c>
      <c r="AA55" s="64">
        <f t="shared" si="3"/>
        <v>6.0085133200158403E-3</v>
      </c>
      <c r="AB55" s="22"/>
      <c r="AC55" s="106">
        <v>1538.11730912077</v>
      </c>
      <c r="AD55" s="65">
        <f t="shared" si="5"/>
        <v>1.1082343724231558E-2</v>
      </c>
      <c r="AE55" s="66">
        <v>-3.6247261769416202E-3</v>
      </c>
      <c r="AF55" s="64">
        <v>-4.7894484337684097E-2</v>
      </c>
      <c r="AG55" s="64">
        <v>8.1127564815639489E-3</v>
      </c>
      <c r="AH55" s="22"/>
      <c r="AI55" s="106">
        <v>1538.4797817384699</v>
      </c>
      <c r="AJ55" s="106">
        <v>1340.1190059467599</v>
      </c>
      <c r="AK55" s="106">
        <v>1523.7042750180401</v>
      </c>
      <c r="AL55" s="22"/>
      <c r="AM55" s="64">
        <f t="shared" si="4"/>
        <v>7.3419015774840446E-3</v>
      </c>
      <c r="AN55" s="64">
        <f t="shared" si="4"/>
        <v>5.9263603757888639E-3</v>
      </c>
      <c r="AO55" s="65">
        <f t="shared" si="4"/>
        <v>7.6923190759965454E-3</v>
      </c>
      <c r="AP55" s="66">
        <v>-8.7190859060708309E-3</v>
      </c>
      <c r="AQ55" s="22"/>
      <c r="AR55" s="64">
        <v>0.13563763032828999</v>
      </c>
      <c r="AS55" s="64">
        <v>5.2835813106806599E-3</v>
      </c>
      <c r="AT55" s="64">
        <v>0.16139524834042698</v>
      </c>
      <c r="AU55" s="64">
        <v>-3.1041199322817802E-2</v>
      </c>
      <c r="AV55" s="67"/>
      <c r="AW55" s="110">
        <v>1538.9930410747099</v>
      </c>
    </row>
    <row r="56" spans="1:49" x14ac:dyDescent="0.25">
      <c r="A56" s="41">
        <f t="shared" ref="A56" si="17">A52+1</f>
        <v>2013</v>
      </c>
      <c r="B56" s="41">
        <f t="shared" si="2"/>
        <v>1</v>
      </c>
      <c r="C56" s="101">
        <v>3508102.4</v>
      </c>
      <c r="D56" s="102">
        <v>1068934.1000000001</v>
      </c>
      <c r="E56" s="102">
        <v>2545902.4</v>
      </c>
      <c r="F56" s="103"/>
      <c r="G56" s="101">
        <v>681872.6</v>
      </c>
      <c r="H56" s="102">
        <v>192965.7</v>
      </c>
      <c r="I56" s="106">
        <v>517921.4</v>
      </c>
      <c r="J56" s="103"/>
      <c r="K56" s="105">
        <v>1362959.1</v>
      </c>
      <c r="L56" s="106">
        <v>590531</v>
      </c>
      <c r="M56" s="106">
        <v>1171039.8</v>
      </c>
      <c r="O56" s="113">
        <v>1086455</v>
      </c>
      <c r="Q56" s="61">
        <v>3.4160784062064499E-2</v>
      </c>
      <c r="R56" s="62">
        <v>-6.0491606740295002E-2</v>
      </c>
      <c r="S56" s="62">
        <v>5.6664808589557601E-2</v>
      </c>
      <c r="T56" s="22"/>
      <c r="U56" s="106">
        <v>1538.9732450004201</v>
      </c>
      <c r="V56" s="106">
        <v>1350.5617966833099</v>
      </c>
      <c r="W56" s="106">
        <v>1522.43060381998</v>
      </c>
      <c r="X56" s="22"/>
      <c r="Y56" s="64">
        <f t="shared" si="3"/>
        <v>5.960546810818812E-3</v>
      </c>
      <c r="Z56" s="64">
        <f t="shared" si="3"/>
        <v>8.001854330984326E-3</v>
      </c>
      <c r="AA56" s="64">
        <f t="shared" si="3"/>
        <v>5.8149988036282352E-3</v>
      </c>
      <c r="AB56" s="22"/>
      <c r="AC56" s="106">
        <v>1542.38932340662</v>
      </c>
      <c r="AD56" s="65">
        <f t="shared" si="5"/>
        <v>4.2448984437104542E-3</v>
      </c>
      <c r="AE56" s="66">
        <v>9.4829130898515801E-3</v>
      </c>
      <c r="AF56" s="64">
        <v>2.3129011917710899E-3</v>
      </c>
      <c r="AG56" s="64">
        <v>1.5217463207584301E-2</v>
      </c>
      <c r="AH56" s="22"/>
      <c r="AI56" s="106">
        <v>1541.4410320976399</v>
      </c>
      <c r="AJ56" s="106">
        <v>1344.2813458901001</v>
      </c>
      <c r="AK56" s="106">
        <v>1526.57533835818</v>
      </c>
      <c r="AL56" s="22"/>
      <c r="AM56" s="64">
        <f t="shared" si="4"/>
        <v>6.5585085152681799E-3</v>
      </c>
      <c r="AN56" s="64">
        <f t="shared" si="4"/>
        <v>6.6586303687163895E-3</v>
      </c>
      <c r="AO56" s="65">
        <f t="shared" si="4"/>
        <v>6.7727552947414171E-3</v>
      </c>
      <c r="AP56" s="66">
        <v>1.0271235241327802E-2</v>
      </c>
      <c r="AQ56" s="22"/>
      <c r="AR56" s="64">
        <v>0.116310051418768</v>
      </c>
      <c r="AS56" s="64">
        <v>5.3347487773534197E-3</v>
      </c>
      <c r="AT56" s="64">
        <v>0.137907117192376</v>
      </c>
      <c r="AU56" s="64">
        <v>-2.6931814550961799E-2</v>
      </c>
      <c r="AV56" s="67"/>
      <c r="AW56" s="110">
        <v>1541.36743895222</v>
      </c>
    </row>
    <row r="57" spans="1:49" x14ac:dyDescent="0.25">
      <c r="A57" s="41"/>
      <c r="B57" s="41">
        <f t="shared" si="2"/>
        <v>2</v>
      </c>
      <c r="C57" s="101">
        <v>5077543.4000000004</v>
      </c>
      <c r="D57" s="102">
        <v>1633206.4</v>
      </c>
      <c r="E57" s="102">
        <v>3776533.3</v>
      </c>
      <c r="F57" s="103"/>
      <c r="G57" s="101">
        <v>692317.3</v>
      </c>
      <c r="H57" s="102">
        <v>237575.4</v>
      </c>
      <c r="I57" s="106">
        <v>662721.80000000005</v>
      </c>
      <c r="J57" s="103"/>
      <c r="K57" s="105">
        <v>2681441.9</v>
      </c>
      <c r="L57" s="106">
        <v>973539.3</v>
      </c>
      <c r="M57" s="106">
        <v>1937446.2</v>
      </c>
      <c r="O57" s="113">
        <v>1038232</v>
      </c>
      <c r="Q57" s="61">
        <v>3.2629643486604902E-2</v>
      </c>
      <c r="R57" s="62">
        <v>-7.3072526617806895E-3</v>
      </c>
      <c r="S57" s="62">
        <v>3.8671236638219801E-2</v>
      </c>
      <c r="T57" s="22"/>
      <c r="U57" s="106">
        <v>1541.0979322465801</v>
      </c>
      <c r="V57" s="106">
        <v>1353.39693485114</v>
      </c>
      <c r="W57" s="106">
        <v>1524.41729313982</v>
      </c>
      <c r="X57" s="22"/>
      <c r="Y57" s="64">
        <f t="shared" si="3"/>
        <v>5.8046148310217927E-3</v>
      </c>
      <c r="Z57" s="64">
        <f t="shared" si="3"/>
        <v>8.1984162239552294E-3</v>
      </c>
      <c r="AA57" s="64">
        <f t="shared" si="3"/>
        <v>5.5940854038036836E-3</v>
      </c>
      <c r="AB57" s="22"/>
      <c r="AC57" s="106">
        <v>1544.3608965952401</v>
      </c>
      <c r="AD57" s="65">
        <f t="shared" si="5"/>
        <v>6.123571649957249E-3</v>
      </c>
      <c r="AE57" s="66">
        <v>2.2240700194037801E-3</v>
      </c>
      <c r="AF57" s="64">
        <v>2.7542215099349999E-2</v>
      </c>
      <c r="AG57" s="64">
        <v>-4.7470426104526293E-3</v>
      </c>
      <c r="AH57" s="22"/>
      <c r="AI57" s="106">
        <v>1544.1384895932999</v>
      </c>
      <c r="AJ57" s="106">
        <v>1349.91198807503</v>
      </c>
      <c r="AK57" s="106">
        <v>1528.7591210646899</v>
      </c>
      <c r="AL57" s="22"/>
      <c r="AM57" s="64">
        <f t="shared" si="4"/>
        <v>7.0445340682532276E-3</v>
      </c>
      <c r="AN57" s="64">
        <f t="shared" si="4"/>
        <v>9.2921861456349841E-3</v>
      </c>
      <c r="AO57" s="65">
        <f t="shared" si="4"/>
        <v>6.8946847220323626E-3</v>
      </c>
      <c r="AP57" s="66">
        <v>3.8139867277473898E-3</v>
      </c>
      <c r="AQ57" s="22"/>
      <c r="AR57" s="64">
        <v>0.10463869236541001</v>
      </c>
      <c r="AS57" s="64">
        <v>5.38909554110695E-3</v>
      </c>
      <c r="AT57" s="64">
        <v>0.122884582125076</v>
      </c>
      <c r="AU57" s="64">
        <v>-2.36349853007729E-2</v>
      </c>
      <c r="AV57" s="67"/>
      <c r="AW57" s="110">
        <v>1543.9802234031399</v>
      </c>
    </row>
    <row r="58" spans="1:49" x14ac:dyDescent="0.25">
      <c r="A58" s="41"/>
      <c r="B58" s="41">
        <f t="shared" si="2"/>
        <v>3</v>
      </c>
      <c r="C58" s="101">
        <v>5281732.4000000004</v>
      </c>
      <c r="D58" s="102">
        <v>1667514.89</v>
      </c>
      <c r="E58" s="102">
        <v>4031656</v>
      </c>
      <c r="F58" s="103"/>
      <c r="G58" s="101">
        <v>838033.2</v>
      </c>
      <c r="H58" s="102">
        <v>274320.33</v>
      </c>
      <c r="I58" s="106">
        <v>771574.2</v>
      </c>
      <c r="J58" s="103"/>
      <c r="K58" s="105">
        <v>3238865.5</v>
      </c>
      <c r="L58" s="106">
        <v>1243691.3</v>
      </c>
      <c r="M58" s="106">
        <v>2456175.5999999996</v>
      </c>
      <c r="O58" s="113">
        <v>1051593</v>
      </c>
      <c r="Q58" s="61">
        <v>5.5505540529629797E-2</v>
      </c>
      <c r="R58" s="62">
        <v>-2.8551178026966603E-2</v>
      </c>
      <c r="S58" s="62">
        <v>6.5725679939127896E-2</v>
      </c>
      <c r="T58" s="22"/>
      <c r="U58" s="106">
        <v>1543.1397354430501</v>
      </c>
      <c r="V58" s="106">
        <v>1356.24123882719</v>
      </c>
      <c r="W58" s="106">
        <v>1526.30384741849</v>
      </c>
      <c r="X58" s="22"/>
      <c r="Y58" s="64">
        <f t="shared" si="3"/>
        <v>5.6208359709779554E-3</v>
      </c>
      <c r="Z58" s="64">
        <f t="shared" si="3"/>
        <v>8.3304910428243506E-3</v>
      </c>
      <c r="AA58" s="64">
        <f t="shared" si="3"/>
        <v>5.3506674880152705E-3</v>
      </c>
      <c r="AB58" s="22"/>
      <c r="AC58" s="106">
        <v>1548.6902894960101</v>
      </c>
      <c r="AD58" s="65">
        <f t="shared" si="5"/>
        <v>1.0845630987274424E-2</v>
      </c>
      <c r="AE58" s="66">
        <v>1.8163361769038499E-2</v>
      </c>
      <c r="AF58" s="64">
        <v>-1.0285720209191201E-2</v>
      </c>
      <c r="AG58" s="64">
        <v>1.87142111178876E-2</v>
      </c>
      <c r="AH58" s="22"/>
      <c r="AI58" s="106">
        <v>1546.8739533191001</v>
      </c>
      <c r="AJ58" s="106">
        <v>1354.4146930454101</v>
      </c>
      <c r="AK58" s="106">
        <v>1531.00499430062</v>
      </c>
      <c r="AL58" s="22"/>
      <c r="AM58" s="64">
        <f t="shared" si="4"/>
        <v>7.4473251259168372E-3</v>
      </c>
      <c r="AN58" s="64">
        <f t="shared" si="4"/>
        <v>1.2827307654765585E-2</v>
      </c>
      <c r="AO58" s="65">
        <f t="shared" si="4"/>
        <v>6.880086952095521E-3</v>
      </c>
      <c r="AP58" s="66">
        <v>2.12891809068693E-2</v>
      </c>
      <c r="AQ58" s="22"/>
      <c r="AR58" s="64">
        <v>0.10118754651065701</v>
      </c>
      <c r="AS58" s="64">
        <v>5.4456743302907394E-3</v>
      </c>
      <c r="AT58" s="64">
        <v>0.11678612751211799</v>
      </c>
      <c r="AU58" s="64">
        <v>-2.1044255331752401E-2</v>
      </c>
      <c r="AV58" s="67"/>
      <c r="AW58" s="110">
        <v>1546.5837162866901</v>
      </c>
    </row>
    <row r="59" spans="1:49" x14ac:dyDescent="0.25">
      <c r="A59" s="41"/>
      <c r="B59" s="41">
        <f t="shared" si="2"/>
        <v>4</v>
      </c>
      <c r="C59" s="101">
        <v>5306864.3</v>
      </c>
      <c r="D59" s="102">
        <v>1774519.9</v>
      </c>
      <c r="E59" s="102">
        <v>3996597.5</v>
      </c>
      <c r="F59" s="103"/>
      <c r="G59" s="101">
        <v>637192.19999999995</v>
      </c>
      <c r="H59" s="102">
        <v>326336.09999999998</v>
      </c>
      <c r="I59" s="106">
        <v>953604.5</v>
      </c>
      <c r="J59" s="103"/>
      <c r="K59" s="105">
        <v>2931947.0999999996</v>
      </c>
      <c r="L59" s="106">
        <v>1155496.8999999999</v>
      </c>
      <c r="M59" s="106">
        <v>2389174.7000000002</v>
      </c>
      <c r="O59" s="113">
        <v>1102786</v>
      </c>
      <c r="Q59" s="61">
        <v>2.7322691409956402E-2</v>
      </c>
      <c r="R59" s="62">
        <v>2.7952005866761703E-2</v>
      </c>
      <c r="S59" s="62">
        <v>3.0974936769430302E-2</v>
      </c>
      <c r="T59" s="22"/>
      <c r="U59" s="106">
        <v>1545.0914119823101</v>
      </c>
      <c r="V59" s="106">
        <v>1359.0639549356099</v>
      </c>
      <c r="W59" s="106">
        <v>1528.0876320070399</v>
      </c>
      <c r="X59" s="22"/>
      <c r="Y59" s="64">
        <f t="shared" si="3"/>
        <v>5.4116292609300842E-3</v>
      </c>
      <c r="Z59" s="64">
        <f t="shared" si="3"/>
        <v>8.3826366169037492E-3</v>
      </c>
      <c r="AA59" s="64">
        <f t="shared" si="3"/>
        <v>5.0901482533014519E-3</v>
      </c>
      <c r="AB59" s="22"/>
      <c r="AC59" s="106">
        <v>1547.8236811233101</v>
      </c>
      <c r="AD59" s="65">
        <f t="shared" si="5"/>
        <v>6.3105537822005786E-3</v>
      </c>
      <c r="AE59" s="66">
        <v>-8.090340002845961E-3</v>
      </c>
      <c r="AF59" s="64">
        <v>2.6634134254470698E-2</v>
      </c>
      <c r="AG59" s="64">
        <v>-1.07412336300142E-2</v>
      </c>
      <c r="AH59" s="22"/>
      <c r="AI59" s="106">
        <v>1548.6327151235901</v>
      </c>
      <c r="AJ59" s="106">
        <v>1359.1957420968399</v>
      </c>
      <c r="AK59" s="106">
        <v>1532.2592490469799</v>
      </c>
      <c r="AL59" s="22"/>
      <c r="AM59" s="64">
        <f t="shared" si="4"/>
        <v>6.5993284446335121E-3</v>
      </c>
      <c r="AN59" s="64">
        <f t="shared" si="4"/>
        <v>1.4235106035678458E-2</v>
      </c>
      <c r="AO59" s="65">
        <f t="shared" si="4"/>
        <v>5.6145895034904747E-3</v>
      </c>
      <c r="AP59" s="66">
        <v>-1.50506858278319E-2</v>
      </c>
      <c r="AQ59" s="22"/>
      <c r="AR59" s="64">
        <v>0.10901418303075</v>
      </c>
      <c r="AS59" s="64">
        <v>5.5037953058548706E-3</v>
      </c>
      <c r="AT59" s="64">
        <v>0.122754836838961</v>
      </c>
      <c r="AU59" s="64">
        <v>-1.9244449114065601E-2</v>
      </c>
      <c r="AV59" s="67"/>
      <c r="AW59" s="110">
        <v>1549.34019080604</v>
      </c>
    </row>
    <row r="60" spans="1:49" x14ac:dyDescent="0.25">
      <c r="A60" s="41">
        <f t="shared" ref="A60" si="18">A56+1</f>
        <v>2014</v>
      </c>
      <c r="B60" s="41">
        <f t="shared" si="2"/>
        <v>1</v>
      </c>
      <c r="C60" s="101">
        <v>4222086.5</v>
      </c>
      <c r="D60" s="102">
        <v>1148133.3081948</v>
      </c>
      <c r="E60" s="102">
        <v>2738034.6</v>
      </c>
      <c r="F60" s="103"/>
      <c r="G60" s="101">
        <v>859448.1</v>
      </c>
      <c r="H60" s="102">
        <v>245645.344378979</v>
      </c>
      <c r="I60" s="106">
        <v>620566.69999999995</v>
      </c>
      <c r="J60" s="103"/>
      <c r="K60" s="105">
        <v>1432676.6</v>
      </c>
      <c r="L60" s="106">
        <v>515231.3</v>
      </c>
      <c r="M60" s="106">
        <v>1069220.2</v>
      </c>
      <c r="O60" s="113">
        <v>1148825</v>
      </c>
      <c r="Q60" s="61">
        <v>2.6160112443851601E-2</v>
      </c>
      <c r="R60" s="62">
        <v>3.8436177830772E-3</v>
      </c>
      <c r="S60" s="62">
        <v>3.5566576796961701E-2</v>
      </c>
      <c r="T60" s="22"/>
      <c r="U60" s="106">
        <v>1546.94918835318</v>
      </c>
      <c r="V60" s="106">
        <v>1361.8325450519501</v>
      </c>
      <c r="W60" s="106">
        <v>1529.7701201115001</v>
      </c>
      <c r="X60" s="22"/>
      <c r="Y60" s="64">
        <f t="shared" si="3"/>
        <v>5.1826393854934594E-3</v>
      </c>
      <c r="Z60" s="64">
        <f t="shared" si="3"/>
        <v>8.3452296639210388E-3</v>
      </c>
      <c r="AA60" s="64">
        <f t="shared" si="3"/>
        <v>4.8209200952111786E-3</v>
      </c>
      <c r="AB60" s="22"/>
      <c r="AC60" s="106">
        <v>1549.56519959756</v>
      </c>
      <c r="AD60" s="65">
        <f t="shared" si="5"/>
        <v>4.6524415606630232E-3</v>
      </c>
      <c r="AE60" s="66">
        <v>-1.1196480285200301E-2</v>
      </c>
      <c r="AF60" s="64">
        <v>-1.16532519063087E-2</v>
      </c>
      <c r="AG60" s="64">
        <v>-5.4861406866732899E-3</v>
      </c>
      <c r="AH60" s="22"/>
      <c r="AI60" s="106">
        <v>1550.68484762608</v>
      </c>
      <c r="AJ60" s="106">
        <v>1363.3822320208899</v>
      </c>
      <c r="AK60" s="106">
        <v>1533.87539185986</v>
      </c>
      <c r="AL60" s="22"/>
      <c r="AM60" s="64">
        <f t="shared" si="4"/>
        <v>5.9968661375653376E-3</v>
      </c>
      <c r="AN60" s="64">
        <f t="shared" si="4"/>
        <v>1.4208994411168074E-2</v>
      </c>
      <c r="AO60" s="65">
        <f t="shared" si="4"/>
        <v>4.7819805012250249E-3</v>
      </c>
      <c r="AP60" s="66">
        <v>-1.4691049956275E-2</v>
      </c>
      <c r="AQ60" s="22"/>
      <c r="AR60" s="64">
        <v>0.10161538961792199</v>
      </c>
      <c r="AS60" s="64">
        <v>5.5623039030745901E-3</v>
      </c>
      <c r="AT60" s="64">
        <v>0.112957033136389</v>
      </c>
      <c r="AU60" s="64">
        <v>-1.6903947421542099E-2</v>
      </c>
      <c r="AV60" s="67"/>
      <c r="AW60" s="110">
        <v>1551.04520280983</v>
      </c>
    </row>
    <row r="61" spans="1:49" x14ac:dyDescent="0.25">
      <c r="A61" s="41"/>
      <c r="B61" s="41">
        <f t="shared" si="2"/>
        <v>2</v>
      </c>
      <c r="C61" s="101">
        <v>5970325.2999999998</v>
      </c>
      <c r="D61" s="102"/>
      <c r="E61" s="102">
        <v>4122442.5</v>
      </c>
      <c r="F61" s="103"/>
      <c r="G61" s="101">
        <v>809090.2</v>
      </c>
      <c r="I61" s="106">
        <v>698959.3</v>
      </c>
      <c r="J61" s="103"/>
      <c r="K61" s="105">
        <v>2166096</v>
      </c>
      <c r="M61" s="106">
        <v>1232896.9000000001</v>
      </c>
      <c r="O61" s="113">
        <v>1040711</v>
      </c>
      <c r="Q61" s="61">
        <v>4.3607899882276799E-2</v>
      </c>
      <c r="R61" s="62">
        <v>-4.4773002463155E-2</v>
      </c>
      <c r="S61" s="62">
        <v>5.5883587807636498E-2</v>
      </c>
      <c r="T61" s="22"/>
      <c r="U61" s="106">
        <v>1548.71099871263</v>
      </c>
      <c r="V61" s="106">
        <v>1364.5162180521299</v>
      </c>
      <c r="W61" s="106">
        <v>1531.3547208714699</v>
      </c>
      <c r="X61" s="22"/>
      <c r="Y61" s="64">
        <f t="shared" si="3"/>
        <v>4.9400276950288813E-3</v>
      </c>
      <c r="Z61" s="64">
        <f t="shared" si="3"/>
        <v>8.2158330011385949E-3</v>
      </c>
      <c r="AA61" s="64">
        <f t="shared" si="3"/>
        <v>4.5508718399283055E-3</v>
      </c>
      <c r="AB61" s="22"/>
      <c r="AC61" s="106">
        <v>1553.07178870085</v>
      </c>
      <c r="AD61" s="65">
        <f t="shared" si="5"/>
        <v>5.6404510919787487E-3</v>
      </c>
      <c r="AE61" s="66">
        <v>6.5181166348708894E-3</v>
      </c>
      <c r="AF61" s="64">
        <v>-6.9656499197681201E-2</v>
      </c>
      <c r="AG61" s="64">
        <v>1.61977391739558E-2</v>
      </c>
      <c r="AH61" s="22"/>
      <c r="AI61" s="106">
        <v>1552.41997703737</v>
      </c>
      <c r="AJ61" s="106">
        <v>1367.00456772558</v>
      </c>
      <c r="AK61" s="106">
        <v>1535.32330573484</v>
      </c>
      <c r="AL61" s="22"/>
      <c r="AM61" s="64">
        <f t="shared" si="4"/>
        <v>5.3631766191200025E-3</v>
      </c>
      <c r="AN61" s="64">
        <f t="shared" si="4"/>
        <v>1.2661995597893716E-2</v>
      </c>
      <c r="AO61" s="65">
        <f t="shared" si="4"/>
        <v>4.2937991863483127E-3</v>
      </c>
      <c r="AP61" s="66">
        <v>8.5814379628083096E-3</v>
      </c>
      <c r="AQ61" s="22"/>
      <c r="AR61" s="64">
        <v>8.58583999788185E-2</v>
      </c>
      <c r="AS61" s="64">
        <v>5.6111342216757102E-3</v>
      </c>
      <c r="AT61" s="64">
        <v>9.4732042689379389E-2</v>
      </c>
      <c r="AU61" s="64">
        <v>-1.44847769322366E-2</v>
      </c>
      <c r="AV61" s="67"/>
      <c r="AW61" s="110">
        <v>1552.21730602822</v>
      </c>
    </row>
    <row r="62" spans="1:49" x14ac:dyDescent="0.25">
      <c r="A62" s="41"/>
      <c r="B62" s="41">
        <f t="shared" si="2"/>
        <v>3</v>
      </c>
      <c r="C62" s="101">
        <v>6366832.2999999998</v>
      </c>
      <c r="D62" s="102"/>
      <c r="E62" s="102">
        <v>4434658.9000000004</v>
      </c>
      <c r="F62" s="103"/>
      <c r="G62" s="101">
        <v>1144153.3</v>
      </c>
      <c r="I62" s="106">
        <v>1047591.7</v>
      </c>
      <c r="J62" s="103"/>
      <c r="K62" s="105">
        <v>2240105.8000000003</v>
      </c>
      <c r="M62" s="106">
        <v>1767177.1</v>
      </c>
      <c r="O62" s="113">
        <v>1116860</v>
      </c>
      <c r="Q62" s="61">
        <v>7.49355946162268E-2</v>
      </c>
      <c r="R62" s="62">
        <v>0.16566243723007301</v>
      </c>
      <c r="S62" s="62">
        <v>5.37349540463401E-2</v>
      </c>
      <c r="T62" s="22"/>
      <c r="U62" s="106">
        <v>1550.3764122247001</v>
      </c>
      <c r="V62" s="106">
        <v>1367.0844230381599</v>
      </c>
      <c r="W62" s="106">
        <v>1532.8470663375999</v>
      </c>
      <c r="X62" s="22"/>
      <c r="Y62" s="64">
        <f t="shared" si="3"/>
        <v>4.6895797026262898E-3</v>
      </c>
      <c r="Z62" s="64">
        <f t="shared" si="3"/>
        <v>7.9950261801111644E-3</v>
      </c>
      <c r="AA62" s="64">
        <f t="shared" si="3"/>
        <v>4.2869700749144091E-3</v>
      </c>
      <c r="AB62" s="22"/>
      <c r="AC62" s="106">
        <v>1557.86997168632</v>
      </c>
      <c r="AD62" s="65">
        <f t="shared" si="5"/>
        <v>5.9273840951745704E-3</v>
      </c>
      <c r="AE62" s="66">
        <v>3.73017181392871E-2</v>
      </c>
      <c r="AF62" s="64">
        <v>0.10254688214322201</v>
      </c>
      <c r="AG62" s="64">
        <v>2.1405168052775699E-2</v>
      </c>
      <c r="AH62" s="22"/>
      <c r="AI62" s="106">
        <v>1554.1397998723901</v>
      </c>
      <c r="AJ62" s="106">
        <v>1373.3959785468401</v>
      </c>
      <c r="AK62" s="106">
        <v>1536.0800449369499</v>
      </c>
      <c r="AL62" s="22"/>
      <c r="AM62" s="64">
        <f t="shared" si="4"/>
        <v>4.697116101605836E-3</v>
      </c>
      <c r="AN62" s="64">
        <f t="shared" si="4"/>
        <v>1.4014382447926854E-2</v>
      </c>
      <c r="AO62" s="65">
        <f t="shared" si="4"/>
        <v>3.3148491711147976E-3</v>
      </c>
      <c r="AP62" s="66">
        <v>4.3555637220245504E-2</v>
      </c>
      <c r="AQ62" s="22"/>
      <c r="AR62" s="64">
        <v>7.2753588463222607E-2</v>
      </c>
      <c r="AS62" s="64">
        <v>5.6467992546472105E-3</v>
      </c>
      <c r="AT62" s="64">
        <v>7.9603498456448693E-2</v>
      </c>
      <c r="AU62" s="64">
        <v>-1.2496709247873199E-2</v>
      </c>
      <c r="AV62" s="67"/>
      <c r="AW62" s="110">
        <v>1553.60659528575</v>
      </c>
    </row>
    <row r="63" spans="1:49" x14ac:dyDescent="0.25">
      <c r="A63" s="41"/>
      <c r="B63" s="41">
        <f t="shared" si="2"/>
        <v>4</v>
      </c>
      <c r="C63" s="101">
        <v>5667810.2000000002</v>
      </c>
      <c r="D63" s="102"/>
      <c r="E63" s="102">
        <v>4187137.4</v>
      </c>
      <c r="F63" s="103"/>
      <c r="G63" s="101">
        <v>848339.5</v>
      </c>
      <c r="I63" s="106">
        <v>1102214.8999999999</v>
      </c>
      <c r="J63" s="103"/>
      <c r="K63" s="105">
        <v>1979554</v>
      </c>
      <c r="M63" s="106">
        <v>1493295.5</v>
      </c>
      <c r="O63" s="113">
        <v>1145341</v>
      </c>
      <c r="Q63" s="61">
        <v>8.3776281679388293E-3</v>
      </c>
      <c r="R63" s="62">
        <v>5.74184298122895E-2</v>
      </c>
      <c r="S63" s="62">
        <v>1.1689137171947499E-3</v>
      </c>
      <c r="T63" s="22"/>
      <c r="U63" s="106">
        <v>1551.94772354716</v>
      </c>
      <c r="V63" s="106">
        <v>1369.5038107994101</v>
      </c>
      <c r="W63" s="106">
        <v>1534.25628128475</v>
      </c>
      <c r="X63" s="22"/>
      <c r="Y63" s="64">
        <f t="shared" si="3"/>
        <v>4.4374795637840414E-3</v>
      </c>
      <c r="Z63" s="64">
        <f t="shared" si="3"/>
        <v>7.6816516440498805E-3</v>
      </c>
      <c r="AA63" s="64">
        <f t="shared" si="3"/>
        <v>4.0368426185140027E-3</v>
      </c>
      <c r="AB63" s="22"/>
      <c r="AC63" s="106">
        <v>1552.78548636395</v>
      </c>
      <c r="AD63" s="65">
        <f t="shared" si="5"/>
        <v>3.205665671841329E-3</v>
      </c>
      <c r="AE63" s="66">
        <v>-1.4451614109727499E-2</v>
      </c>
      <c r="AF63" s="64">
        <v>-3.3092226072254298E-3</v>
      </c>
      <c r="AG63" s="64">
        <v>-1.44018617068559E-2</v>
      </c>
      <c r="AH63" s="22"/>
      <c r="AI63" s="106">
        <v>1554.23064777492</v>
      </c>
      <c r="AJ63" s="106">
        <v>1375.5765760413601</v>
      </c>
      <c r="AK63" s="106">
        <v>1535.8133588271601</v>
      </c>
      <c r="AL63" s="22"/>
      <c r="AM63" s="64">
        <f t="shared" si="4"/>
        <v>3.6147581002661244E-3</v>
      </c>
      <c r="AN63" s="64">
        <f t="shared" si="4"/>
        <v>1.2051857901827612E-2</v>
      </c>
      <c r="AO63" s="65">
        <f t="shared" si="4"/>
        <v>2.3195224844561046E-3</v>
      </c>
      <c r="AP63" s="66">
        <v>-2.0459652192773698E-2</v>
      </c>
      <c r="AQ63" s="22"/>
      <c r="AR63" s="64">
        <v>5.6672485276508103E-2</v>
      </c>
      <c r="AS63" s="64">
        <v>5.66244695314391E-3</v>
      </c>
      <c r="AT63" s="64">
        <v>6.1748010306299499E-2</v>
      </c>
      <c r="AU63" s="64">
        <v>-1.07379719829353E-2</v>
      </c>
      <c r="AV63" s="67"/>
      <c r="AW63" s="110">
        <v>1554.85267138371</v>
      </c>
    </row>
    <row r="64" spans="1:49" x14ac:dyDescent="0.25">
      <c r="A64" s="41">
        <f t="shared" ref="A64" si="19">A60+1</f>
        <v>2015</v>
      </c>
      <c r="B64" s="41">
        <f t="shared" si="2"/>
        <v>1</v>
      </c>
      <c r="C64" s="101">
        <v>4438207.9689999996</v>
      </c>
      <c r="D64" s="102"/>
      <c r="E64" s="102">
        <v>2852806.7</v>
      </c>
      <c r="F64" s="103">
        <v>4193640.753</v>
      </c>
      <c r="G64" s="101">
        <v>937941.36300000001</v>
      </c>
      <c r="I64" s="106">
        <v>703934.1</v>
      </c>
      <c r="J64" s="103">
        <v>741298.83900000004</v>
      </c>
      <c r="K64" s="105">
        <v>225759.64499999999</v>
      </c>
      <c r="M64" s="106">
        <v>394933.1</v>
      </c>
      <c r="N64" s="110">
        <v>254519.52799999999</v>
      </c>
      <c r="O64" s="113">
        <v>1119703</v>
      </c>
      <c r="Q64" s="61">
        <v>8.5077528761758005E-4</v>
      </c>
      <c r="R64" s="62">
        <v>2.6086284124976298E-2</v>
      </c>
      <c r="S64" s="62">
        <v>-1.66947283760009E-3</v>
      </c>
      <c r="T64" s="22"/>
      <c r="U64" s="106">
        <v>1553.43191081244</v>
      </c>
      <c r="V64" s="106">
        <v>1371.7513860275801</v>
      </c>
      <c r="W64" s="106">
        <v>1535.59484892245</v>
      </c>
      <c r="X64" s="22"/>
      <c r="Y64" s="64">
        <f t="shared" si="3"/>
        <v>4.1906498985666563E-3</v>
      </c>
      <c r="Z64" s="64">
        <f t="shared" si="3"/>
        <v>7.2834512669481821E-3</v>
      </c>
      <c r="AA64" s="64">
        <f t="shared" si="3"/>
        <v>3.8075843777922724E-3</v>
      </c>
      <c r="AB64" s="22"/>
      <c r="AC64" s="106">
        <v>1553.5169883412</v>
      </c>
      <c r="AD64" s="65">
        <f t="shared" si="5"/>
        <v>2.5502565136763522E-3</v>
      </c>
      <c r="AE64" s="66">
        <v>-1.47897252574931E-2</v>
      </c>
      <c r="AF64" s="64">
        <v>-4.5275346518913601E-2</v>
      </c>
      <c r="AG64" s="64">
        <v>-5.6782915620307399E-3</v>
      </c>
      <c r="AH64" s="22"/>
      <c r="AI64" s="106">
        <v>1554.9959608669501</v>
      </c>
      <c r="AJ64" s="106">
        <v>1378.88754909197</v>
      </c>
      <c r="AK64" s="106">
        <v>1535.9957307948901</v>
      </c>
      <c r="AL64" s="22"/>
      <c r="AM64" s="64">
        <f t="shared" si="4"/>
        <v>2.7801350141971604E-3</v>
      </c>
      <c r="AN64" s="64">
        <f t="shared" si="4"/>
        <v>1.1372685301976659E-2</v>
      </c>
      <c r="AO64" s="65">
        <f t="shared" si="4"/>
        <v>1.3823410599600461E-3</v>
      </c>
      <c r="AP64" s="66">
        <v>-1.24504299042435E-2</v>
      </c>
      <c r="AQ64" s="22"/>
      <c r="AR64" s="64">
        <v>3.7948782680941699E-2</v>
      </c>
      <c r="AS64" s="64">
        <v>5.6576348755001402E-3</v>
      </c>
      <c r="AT64" s="64">
        <v>4.1542267497839097E-2</v>
      </c>
      <c r="AU64" s="64">
        <v>-9.2511196923976101E-3</v>
      </c>
      <c r="AV64" s="67"/>
      <c r="AW64" s="110">
        <v>1554.76984693134</v>
      </c>
    </row>
    <row r="65" spans="1:49" x14ac:dyDescent="0.25">
      <c r="A65" s="41"/>
      <c r="B65" s="41">
        <f t="shared" si="2"/>
        <v>2</v>
      </c>
      <c r="C65" s="101">
        <v>5941338.4040000001</v>
      </c>
      <c r="D65" s="102"/>
      <c r="E65" s="102">
        <v>4225586.5</v>
      </c>
      <c r="F65" s="103">
        <v>6296039.5949999997</v>
      </c>
      <c r="G65" s="101">
        <v>823109.598</v>
      </c>
      <c r="I65" s="106">
        <v>840285.8</v>
      </c>
      <c r="J65" s="103">
        <v>884858.16500000004</v>
      </c>
      <c r="K65" s="105">
        <v>1475352.4069999999</v>
      </c>
      <c r="M65" s="106">
        <v>1014686.5000000001</v>
      </c>
      <c r="N65" s="110">
        <v>1541270.548</v>
      </c>
      <c r="O65" s="113">
        <v>1067589</v>
      </c>
      <c r="Q65" s="61">
        <v>5.8422203131863106E-3</v>
      </c>
      <c r="R65" s="62">
        <v>7.01750007156033E-2</v>
      </c>
      <c r="S65" s="62">
        <v>-3.8634428724799302E-3</v>
      </c>
      <c r="T65" s="22"/>
      <c r="U65" s="106">
        <v>1554.8364757547399</v>
      </c>
      <c r="V65" s="106">
        <v>1373.80774206623</v>
      </c>
      <c r="W65" s="106">
        <v>1536.8753255173001</v>
      </c>
      <c r="X65" s="22"/>
      <c r="Y65" s="64">
        <f t="shared" si="3"/>
        <v>3.955209879184407E-3</v>
      </c>
      <c r="Z65" s="64">
        <f t="shared" si="3"/>
        <v>6.8093906772057622E-3</v>
      </c>
      <c r="AA65" s="64">
        <f t="shared" si="3"/>
        <v>3.6050462839130049E-3</v>
      </c>
      <c r="AB65" s="22"/>
      <c r="AC65" s="106">
        <v>1555.4206977860599</v>
      </c>
      <c r="AD65" s="65">
        <f t="shared" si="5"/>
        <v>1.5124278879437014E-3</v>
      </c>
      <c r="AE65" s="66">
        <v>-5.3692406016174997E-4</v>
      </c>
      <c r="AF65" s="64">
        <v>-1.3313343716578101E-2</v>
      </c>
      <c r="AG65" s="64">
        <v>3.7990716875000901E-3</v>
      </c>
      <c r="AH65" s="22"/>
      <c r="AI65" s="106">
        <v>1555.4743901920799</v>
      </c>
      <c r="AJ65" s="106">
        <v>1382.1565765094499</v>
      </c>
      <c r="AK65" s="106">
        <v>1536.1090740612999</v>
      </c>
      <c r="AL65" s="22"/>
      <c r="AM65" s="64">
        <f t="shared" si="4"/>
        <v>1.9675172955058162E-3</v>
      </c>
      <c r="AN65" s="64">
        <f t="shared" si="4"/>
        <v>1.108409521197129E-2</v>
      </c>
      <c r="AO65" s="65">
        <f t="shared" si="4"/>
        <v>5.1179339460616369E-4</v>
      </c>
      <c r="AP65" s="66">
        <v>-1.35888663192718E-3</v>
      </c>
      <c r="AQ65" s="22"/>
      <c r="AR65" s="64">
        <v>3.3957557495319202E-2</v>
      </c>
      <c r="AS65" s="64">
        <v>5.6340325300383801E-3</v>
      </c>
      <c r="AT65" s="64">
        <v>3.6601578093394101E-2</v>
      </c>
      <c r="AU65" s="64">
        <v>-8.2780531281132792E-3</v>
      </c>
      <c r="AV65" s="67"/>
      <c r="AW65" s="110">
        <v>1555.55667886163</v>
      </c>
    </row>
    <row r="66" spans="1:49" x14ac:dyDescent="0.25">
      <c r="A66" s="41"/>
      <c r="B66" s="41">
        <f t="shared" si="2"/>
        <v>3</v>
      </c>
      <c r="C66" s="101">
        <v>6322883.8480000002</v>
      </c>
      <c r="D66" s="102"/>
      <c r="E66" s="102">
        <v>4471725.3</v>
      </c>
      <c r="F66" s="103">
        <v>6303713.8020000001</v>
      </c>
      <c r="G66" s="101">
        <v>1079211.388</v>
      </c>
      <c r="I66" s="106">
        <v>1137690.8</v>
      </c>
      <c r="J66" s="103">
        <v>1192659.9069999999</v>
      </c>
      <c r="K66" s="105">
        <v>1821470.726</v>
      </c>
      <c r="M66" s="106">
        <v>1415516.6999999997</v>
      </c>
      <c r="N66" s="110">
        <v>1794495.4100000001</v>
      </c>
      <c r="O66" s="113">
        <v>1089303</v>
      </c>
      <c r="Q66" s="61">
        <v>3.1462461644514404E-2</v>
      </c>
      <c r="R66" s="62">
        <v>0.156926183107889</v>
      </c>
      <c r="S66" s="62">
        <v>2.0781495667028999E-3</v>
      </c>
      <c r="T66" s="22"/>
      <c r="U66" s="106">
        <v>1556.1689732817099</v>
      </c>
      <c r="V66" s="106">
        <v>1375.65510265168</v>
      </c>
      <c r="W66" s="106">
        <v>1538.1101629938701</v>
      </c>
      <c r="X66" s="22"/>
      <c r="Y66" s="64">
        <f t="shared" si="3"/>
        <v>3.7362288353561812E-3</v>
      </c>
      <c r="Z66" s="64">
        <f t="shared" si="3"/>
        <v>6.2693126109014674E-3</v>
      </c>
      <c r="AA66" s="64">
        <f t="shared" si="3"/>
        <v>3.4335432228376206E-3</v>
      </c>
      <c r="AB66" s="22"/>
      <c r="AC66" s="106">
        <v>1559.31521944616</v>
      </c>
      <c r="AD66" s="65">
        <f t="shared" si="5"/>
        <v>9.277075661684453E-4</v>
      </c>
      <c r="AE66" s="66">
        <v>2.9239069978653397E-2</v>
      </c>
      <c r="AF66" s="64">
        <v>5.6708636687093195E-2</v>
      </c>
      <c r="AG66" s="64">
        <v>1.9970399935740599E-2</v>
      </c>
      <c r="AH66" s="22"/>
      <c r="AI66" s="106">
        <v>1556.3913124482999</v>
      </c>
      <c r="AJ66" s="106">
        <v>1385.6768572937499</v>
      </c>
      <c r="AK66" s="106">
        <v>1536.3209379569601</v>
      </c>
      <c r="AL66" s="22"/>
      <c r="AM66" s="64">
        <f t="shared" si="4"/>
        <v>1.4487194627501587E-3</v>
      </c>
      <c r="AN66" s="64">
        <f t="shared" si="4"/>
        <v>8.9419795446787909E-3</v>
      </c>
      <c r="AO66" s="65">
        <f t="shared" si="4"/>
        <v>1.5682322077181787E-4</v>
      </c>
      <c r="AP66" s="66">
        <v>2.8611671434758301E-2</v>
      </c>
      <c r="AQ66" s="22"/>
      <c r="AR66" s="64">
        <v>2.9297201179005802E-2</v>
      </c>
      <c r="AS66" s="64">
        <v>5.58665620685753E-3</v>
      </c>
      <c r="AT66" s="64">
        <v>3.1177814222944699E-2</v>
      </c>
      <c r="AU66" s="64">
        <v>-7.4672692507964603E-3</v>
      </c>
      <c r="AV66" s="67"/>
      <c r="AW66" s="110">
        <v>1556.4942193254301</v>
      </c>
    </row>
    <row r="67" spans="1:49" x14ac:dyDescent="0.25">
      <c r="A67" s="41"/>
      <c r="B67" s="41">
        <f t="shared" si="2"/>
        <v>4</v>
      </c>
      <c r="C67" s="101">
        <v>6192350.6699999999</v>
      </c>
      <c r="D67" s="102"/>
      <c r="E67" s="102">
        <v>4300607.7</v>
      </c>
      <c r="F67" s="103">
        <v>6101386.7410000004</v>
      </c>
      <c r="G67" s="101">
        <v>1310201.939</v>
      </c>
      <c r="I67" s="106">
        <v>1275817.3999999999</v>
      </c>
      <c r="J67" s="103">
        <v>1331647.3759999999</v>
      </c>
      <c r="K67" s="105">
        <v>2089809.1280000005</v>
      </c>
      <c r="M67" s="106">
        <v>1265570.3000000003</v>
      </c>
      <c r="N67" s="110">
        <v>2022106.4200000004</v>
      </c>
      <c r="O67" s="113">
        <v>1131842</v>
      </c>
      <c r="Q67" s="61">
        <v>-2.4799026795203599E-2</v>
      </c>
      <c r="R67" s="62">
        <v>0.11864487063212399</v>
      </c>
      <c r="S67" s="62">
        <v>-5.8359746491337301E-2</v>
      </c>
      <c r="T67" s="22"/>
      <c r="U67" s="106">
        <v>1557.4373234397599</v>
      </c>
      <c r="V67" s="106">
        <v>1377.2800774577699</v>
      </c>
      <c r="W67" s="106">
        <v>1539.31157181154</v>
      </c>
      <c r="X67" s="22"/>
      <c r="Y67" s="64">
        <f t="shared" si="3"/>
        <v>3.5372324784579412E-3</v>
      </c>
      <c r="Z67" s="64">
        <f t="shared" si="3"/>
        <v>5.6781635779608042E-3</v>
      </c>
      <c r="AA67" s="64">
        <f t="shared" si="3"/>
        <v>3.2949453024606612E-3</v>
      </c>
      <c r="AB67" s="22"/>
      <c r="AC67" s="106">
        <v>1554.95742076024</v>
      </c>
      <c r="AD67" s="65">
        <f t="shared" si="5"/>
        <v>1.3987343489252346E-3</v>
      </c>
      <c r="AE67" s="66">
        <v>-1.0694316319595601E-2</v>
      </c>
      <c r="AF67" s="64">
        <v>2.6780448510536303E-2</v>
      </c>
      <c r="AG67" s="64">
        <v>-2.2593387101430201E-2</v>
      </c>
      <c r="AH67" s="22"/>
      <c r="AI67" s="106">
        <v>1556.0268523922</v>
      </c>
      <c r="AJ67" s="106">
        <v>1386.46651966993</v>
      </c>
      <c r="AK67" s="106">
        <v>1535.7349358725501</v>
      </c>
      <c r="AL67" s="22"/>
      <c r="AM67" s="64">
        <f t="shared" si="4"/>
        <v>1.1556872976681287E-3</v>
      </c>
      <c r="AN67" s="64">
        <f t="shared" si="4"/>
        <v>7.9166393338194752E-3</v>
      </c>
      <c r="AO67" s="65">
        <f t="shared" si="4"/>
        <v>-5.1062815777269677E-5</v>
      </c>
      <c r="AP67" s="66">
        <v>-2.4274163225677298E-2</v>
      </c>
      <c r="AQ67" s="22"/>
      <c r="AR67" s="64">
        <v>2.5952173089797102E-2</v>
      </c>
      <c r="AS67" s="64">
        <v>5.5102769270269402E-3</v>
      </c>
      <c r="AT67" s="64">
        <v>2.72774907425344E-2</v>
      </c>
      <c r="AU67" s="64">
        <v>-6.8355945797643003E-3</v>
      </c>
      <c r="AV67" s="67"/>
      <c r="AW67" s="110">
        <v>1557.4147844577001</v>
      </c>
    </row>
    <row r="68" spans="1:49" x14ac:dyDescent="0.25">
      <c r="A68" s="41">
        <f t="shared" ref="A68" si="20">A64+1</f>
        <v>2016</v>
      </c>
      <c r="B68" s="41">
        <f t="shared" si="2"/>
        <v>1</v>
      </c>
      <c r="C68" s="101">
        <v>4586428.5779999997</v>
      </c>
      <c r="D68" s="102"/>
      <c r="E68" s="102">
        <v>2934298.3</v>
      </c>
      <c r="F68" s="103">
        <v>4302469.585</v>
      </c>
      <c r="G68" s="101">
        <v>941999.24600000004</v>
      </c>
      <c r="I68" s="106">
        <v>813551.4</v>
      </c>
      <c r="J68" s="103">
        <v>842813.18099999998</v>
      </c>
      <c r="K68" s="105">
        <v>283935.16200000001</v>
      </c>
      <c r="M68" s="106">
        <v>480957.1</v>
      </c>
      <c r="N68" s="110">
        <v>196405.902</v>
      </c>
      <c r="O68" s="113">
        <v>1144359</v>
      </c>
      <c r="Q68" s="61">
        <v>-2.76892447466025E-2</v>
      </c>
      <c r="R68" s="62">
        <v>7.8491879257035102E-2</v>
      </c>
      <c r="S68" s="62">
        <v>-4.95749570896305E-2</v>
      </c>
      <c r="T68" s="22"/>
      <c r="U68" s="106">
        <v>1558.6514126791601</v>
      </c>
      <c r="V68" s="106">
        <v>1378.67908404483</v>
      </c>
      <c r="W68" s="106">
        <v>1540.4918923140301</v>
      </c>
      <c r="X68" s="22"/>
      <c r="Y68" s="64">
        <f t="shared" si="3"/>
        <v>3.3599811040254668E-3</v>
      </c>
      <c r="Z68" s="64">
        <f t="shared" si="3"/>
        <v>5.0502577127415904E-3</v>
      </c>
      <c r="AA68" s="64">
        <f t="shared" si="3"/>
        <v>3.1890204600624195E-3</v>
      </c>
      <c r="AB68" s="22"/>
      <c r="AC68" s="106">
        <v>1555.8824882045001</v>
      </c>
      <c r="AD68" s="65">
        <f t="shared" si="5"/>
        <v>1.5226739591860383E-3</v>
      </c>
      <c r="AE68" s="66">
        <v>-4.9180923906345904E-3</v>
      </c>
      <c r="AF68" s="64">
        <v>1.0170975353782601E-2</v>
      </c>
      <c r="AG68" s="64">
        <v>-7.2567414639936201E-3</v>
      </c>
      <c r="AH68" s="22"/>
      <c r="AI68" s="106">
        <v>1556.37429744357</v>
      </c>
      <c r="AJ68" s="106">
        <v>1385.51117443515</v>
      </c>
      <c r="AK68" s="106">
        <v>1536.26007075147</v>
      </c>
      <c r="AL68" s="22"/>
      <c r="AM68" s="64">
        <f t="shared" si="4"/>
        <v>8.8639238384358165E-4</v>
      </c>
      <c r="AN68" s="64">
        <f t="shared" si="4"/>
        <v>4.803600806709607E-3</v>
      </c>
      <c r="AO68" s="65">
        <f t="shared" si="4"/>
        <v>1.7209680422958229E-4</v>
      </c>
      <c r="AP68" s="66">
        <v>-1.1614385763072499E-2</v>
      </c>
      <c r="AQ68" s="22"/>
      <c r="AR68" s="64">
        <v>2.3070881350242201E-2</v>
      </c>
      <c r="AS68" s="64">
        <v>5.3925541547250096E-3</v>
      </c>
      <c r="AT68" s="64">
        <v>2.4048898089432801E-2</v>
      </c>
      <c r="AU68" s="64">
        <v>-6.3705708939155803E-3</v>
      </c>
      <c r="AV68" s="67"/>
      <c r="AW68" s="110">
        <v>1557.0507241615001</v>
      </c>
    </row>
    <row r="69" spans="1:49" x14ac:dyDescent="0.25">
      <c r="A69" s="41"/>
      <c r="B69" s="41">
        <f t="shared" si="2"/>
        <v>2</v>
      </c>
      <c r="C69" s="101">
        <v>6241011.4960000003</v>
      </c>
      <c r="D69" s="102"/>
      <c r="E69" s="102">
        <v>4243445.0999999996</v>
      </c>
      <c r="F69" s="103">
        <v>6353504.6840000004</v>
      </c>
      <c r="G69" s="101">
        <v>843325.07499999995</v>
      </c>
      <c r="I69" s="106">
        <v>862895.7</v>
      </c>
      <c r="J69" s="103">
        <v>888800.73800000001</v>
      </c>
      <c r="K69" s="105">
        <v>1759277.138</v>
      </c>
      <c r="M69" s="106">
        <v>1060592.6000000001</v>
      </c>
      <c r="N69" s="110">
        <v>1874411.398</v>
      </c>
      <c r="O69" s="113">
        <v>1132843</v>
      </c>
      <c r="Q69" s="61">
        <v>-3.7748421056414801E-2</v>
      </c>
      <c r="R69" s="62">
        <v>3.3737654921912899E-2</v>
      </c>
      <c r="S69" s="62">
        <v>-4.7687739988975804E-2</v>
      </c>
      <c r="T69" s="22"/>
      <c r="U69" s="106">
        <v>1559.81957751102</v>
      </c>
      <c r="V69" s="106">
        <v>1379.85595527756</v>
      </c>
      <c r="W69" s="106">
        <v>1541.65981736093</v>
      </c>
      <c r="X69" s="22"/>
      <c r="Y69" s="64">
        <f t="shared" si="3"/>
        <v>3.2049040744694945E-3</v>
      </c>
      <c r="Z69" s="64">
        <f t="shared" si="3"/>
        <v>4.4025179260043235E-3</v>
      </c>
      <c r="AA69" s="64">
        <f t="shared" si="3"/>
        <v>3.1131294544139987E-3</v>
      </c>
      <c r="AB69" s="22"/>
      <c r="AC69" s="106">
        <v>1556.0447354053799</v>
      </c>
      <c r="AD69" s="65">
        <f t="shared" si="5"/>
        <v>4.0120182289471451E-4</v>
      </c>
      <c r="AE69" s="66">
        <v>-8.1458448479081198E-3</v>
      </c>
      <c r="AF69" s="64">
        <v>-7.1431382553607302E-3</v>
      </c>
      <c r="AG69" s="64">
        <v>-3.7722271765406202E-3</v>
      </c>
      <c r="AH69" s="22"/>
      <c r="AI69" s="106">
        <v>1556.8593198901699</v>
      </c>
      <c r="AJ69" s="106">
        <v>1383.9440345952901</v>
      </c>
      <c r="AK69" s="106">
        <v>1537.26826607969</v>
      </c>
      <c r="AL69" s="22"/>
      <c r="AM69" s="64">
        <f t="shared" si="4"/>
        <v>8.9035840565587776E-4</v>
      </c>
      <c r="AN69" s="64">
        <f t="shared" si="4"/>
        <v>1.2932384913684203E-3</v>
      </c>
      <c r="AO69" s="65">
        <f t="shared" si="4"/>
        <v>7.5462871612708149E-4</v>
      </c>
      <c r="AP69" s="66">
        <v>-2.0841760775785499E-2</v>
      </c>
      <c r="AQ69" s="22"/>
      <c r="AR69" s="64">
        <v>2.62820191275858E-2</v>
      </c>
      <c r="AS69" s="64">
        <v>5.2157879370247793E-3</v>
      </c>
      <c r="AT69" s="64">
        <v>2.7192205027347399E-2</v>
      </c>
      <c r="AU69" s="64">
        <v>-6.1259738367864004E-3</v>
      </c>
      <c r="AV69" s="67"/>
      <c r="AW69" s="110">
        <v>1558.15093700384</v>
      </c>
    </row>
    <row r="70" spans="1:49" x14ac:dyDescent="0.25">
      <c r="A70" s="41"/>
      <c r="B70" s="41">
        <f t="shared" si="2"/>
        <v>3</v>
      </c>
      <c r="C70" s="101">
        <v>6211765.8300000001</v>
      </c>
      <c r="D70" s="102"/>
      <c r="E70" s="102">
        <v>4205327.2</v>
      </c>
      <c r="F70" s="103">
        <v>5990073.8789999997</v>
      </c>
      <c r="G70" s="101">
        <v>1211829.132</v>
      </c>
      <c r="I70" s="106">
        <v>993051.7</v>
      </c>
      <c r="J70" s="103">
        <v>1021118.393</v>
      </c>
      <c r="K70" s="105">
        <v>1693764.3</v>
      </c>
      <c r="M70" s="106">
        <v>1318625.9000000001</v>
      </c>
      <c r="N70" s="110">
        <v>1781208.5999999999</v>
      </c>
      <c r="O70" s="113">
        <v>1147015</v>
      </c>
      <c r="Q70" s="61">
        <v>-5.1955685310560905E-2</v>
      </c>
      <c r="R70" s="62">
        <v>-5.5199936189301295E-2</v>
      </c>
      <c r="S70" s="62">
        <v>-5.4113467571253307E-2</v>
      </c>
      <c r="T70" s="22"/>
      <c r="U70" s="106">
        <v>1560.94842386862</v>
      </c>
      <c r="V70" s="106">
        <v>1380.8194297631401</v>
      </c>
      <c r="W70" s="106">
        <v>1542.82094137698</v>
      </c>
      <c r="X70" s="22"/>
      <c r="Y70" s="64">
        <f t="shared" si="3"/>
        <v>3.0712928152210051E-3</v>
      </c>
      <c r="Z70" s="64">
        <f t="shared" si="3"/>
        <v>3.7540856727136251E-3</v>
      </c>
      <c r="AA70" s="64">
        <f t="shared" si="3"/>
        <v>3.0627054527359032E-3</v>
      </c>
      <c r="AB70" s="22"/>
      <c r="AC70" s="106">
        <v>1555.75285533756</v>
      </c>
      <c r="AD70" s="65">
        <f t="shared" si="5"/>
        <v>-2.2845695752685691E-3</v>
      </c>
      <c r="AE70" s="66">
        <v>-1.9702900848260499E-2</v>
      </c>
      <c r="AF70" s="64">
        <v>-6.4545620379482999E-2</v>
      </c>
      <c r="AG70" s="64">
        <v>-1.35317363873731E-2</v>
      </c>
      <c r="AH70" s="22"/>
      <c r="AI70" s="106">
        <v>1557.72314542239</v>
      </c>
      <c r="AJ70" s="106">
        <v>1381.7539981821601</v>
      </c>
      <c r="AK70" s="106">
        <v>1538.7627682586001</v>
      </c>
      <c r="AL70" s="22"/>
      <c r="AM70" s="64">
        <f t="shared" si="4"/>
        <v>8.5571858660338229E-4</v>
      </c>
      <c r="AN70" s="64">
        <f t="shared" si="4"/>
        <v>-2.8310057218182694E-3</v>
      </c>
      <c r="AO70" s="65">
        <f t="shared" si="4"/>
        <v>1.5894011734860491E-3</v>
      </c>
      <c r="AP70" s="66">
        <v>-3.2391782074692503E-2</v>
      </c>
      <c r="AQ70" s="22"/>
      <c r="AR70" s="64">
        <v>2.5842644755550998E-2</v>
      </c>
      <c r="AS70" s="64">
        <v>4.9640159915817703E-3</v>
      </c>
      <c r="AT70" s="64">
        <v>2.68945071264476E-2</v>
      </c>
      <c r="AU70" s="64">
        <v>-6.0158783624783595E-3</v>
      </c>
      <c r="AV70" s="67"/>
      <c r="AW70" s="110">
        <v>1559.0456560556199</v>
      </c>
    </row>
    <row r="71" spans="1:49" x14ac:dyDescent="0.25">
      <c r="A71" s="41"/>
      <c r="B71" s="41">
        <f t="shared" si="2"/>
        <v>4</v>
      </c>
      <c r="C71" s="101">
        <v>6892136.7379999999</v>
      </c>
      <c r="D71" s="102"/>
      <c r="E71" s="102">
        <v>4652854.4000000004</v>
      </c>
      <c r="F71" s="103">
        <v>6589815.6370000001</v>
      </c>
      <c r="G71" s="101">
        <v>1825524.091</v>
      </c>
      <c r="I71" s="106">
        <v>1294584.8999999999</v>
      </c>
      <c r="J71" s="103">
        <v>1330400.8729999999</v>
      </c>
      <c r="K71" s="105">
        <v>1678545.0320000001</v>
      </c>
      <c r="M71" s="106">
        <v>1317490.3999999999</v>
      </c>
      <c r="N71" s="110">
        <v>1662045.0330000003</v>
      </c>
      <c r="O71" s="113">
        <v>1237676</v>
      </c>
      <c r="Q71" s="61">
        <v>-6.4579701882621502E-3</v>
      </c>
      <c r="R71" s="62">
        <v>7.2698811559782806E-2</v>
      </c>
      <c r="S71" s="62">
        <v>-2.2545854719321599E-2</v>
      </c>
      <c r="T71" s="22"/>
      <c r="U71" s="106">
        <v>1562.0421984089501</v>
      </c>
      <c r="V71" s="106">
        <v>1381.58035471217</v>
      </c>
      <c r="W71" s="106">
        <v>1543.9778783032</v>
      </c>
      <c r="X71" s="22"/>
      <c r="Y71" s="64">
        <f t="shared" si="3"/>
        <v>2.9567000224572926E-3</v>
      </c>
      <c r="Z71" s="64">
        <f t="shared" si="3"/>
        <v>3.1222968550721486E-3</v>
      </c>
      <c r="AA71" s="64">
        <f t="shared" si="3"/>
        <v>3.0314242919440293E-3</v>
      </c>
      <c r="AB71" s="22"/>
      <c r="AC71" s="106">
        <v>1561.39640139013</v>
      </c>
      <c r="AD71" s="65">
        <f t="shared" si="5"/>
        <v>4.1409369439466825E-3</v>
      </c>
      <c r="AE71" s="66">
        <v>1.7100072640844101E-2</v>
      </c>
      <c r="AF71" s="64">
        <v>5.9736070076319703E-2</v>
      </c>
      <c r="AG71" s="64">
        <v>7.9128053345558502E-3</v>
      </c>
      <c r="AH71" s="22"/>
      <c r="AI71" s="106">
        <v>1559.6863941260401</v>
      </c>
      <c r="AJ71" s="106">
        <v>1382.87662886052</v>
      </c>
      <c r="AK71" s="106">
        <v>1540.9320122978099</v>
      </c>
      <c r="AL71" s="22"/>
      <c r="AM71" s="64">
        <f t="shared" si="4"/>
        <v>2.3518499878161236E-3</v>
      </c>
      <c r="AN71" s="64">
        <f t="shared" si="4"/>
        <v>-2.5892372866419544E-3</v>
      </c>
      <c r="AO71" s="65">
        <f t="shared" si="4"/>
        <v>3.3840972838889982E-3</v>
      </c>
      <c r="AP71" s="66">
        <v>1.8164482684802502E-2</v>
      </c>
      <c r="AQ71" s="22"/>
      <c r="AR71" s="64">
        <v>2.2054369924428201E-2</v>
      </c>
      <c r="AS71" s="64">
        <v>4.6262935811194703E-3</v>
      </c>
      <c r="AT71" s="64">
        <v>2.34899521093184E-2</v>
      </c>
      <c r="AU71" s="64">
        <v>-6.0618757660096702E-3</v>
      </c>
      <c r="AV71" s="67"/>
      <c r="AW71" s="110">
        <v>1559.5962534478101</v>
      </c>
    </row>
    <row r="72" spans="1:49" x14ac:dyDescent="0.25">
      <c r="A72" s="41">
        <f t="shared" ref="A72" si="21">A68+1</f>
        <v>2017</v>
      </c>
      <c r="B72" s="41">
        <f t="shared" si="2"/>
        <v>1</v>
      </c>
      <c r="C72" s="101">
        <v>5725534.1390000004</v>
      </c>
      <c r="D72" s="102"/>
      <c r="E72" s="102">
        <v>3056774.2</v>
      </c>
      <c r="F72" s="103">
        <v>4550537.5</v>
      </c>
      <c r="G72" s="101">
        <v>1675391.11</v>
      </c>
      <c r="I72" s="106">
        <v>769439</v>
      </c>
      <c r="J72" s="103">
        <v>797260.14800000004</v>
      </c>
      <c r="K72" s="105">
        <v>918587.51500000001</v>
      </c>
      <c r="M72" s="106">
        <v>943343.4</v>
      </c>
      <c r="N72" s="110">
        <v>845022.42099999997</v>
      </c>
      <c r="O72" s="113">
        <v>1190863</v>
      </c>
      <c r="Q72" s="61">
        <v>-1.7700592894218502E-2</v>
      </c>
      <c r="R72" s="62">
        <v>-2.1571475971713799E-2</v>
      </c>
      <c r="S72" s="62">
        <v>-1.5116320131578501E-2</v>
      </c>
      <c r="T72" s="22"/>
      <c r="U72" s="106">
        <v>1563.10190055867</v>
      </c>
      <c r="V72" s="106">
        <v>1382.1461273392399</v>
      </c>
      <c r="W72" s="106">
        <v>1545.1298599888601</v>
      </c>
      <c r="X72" s="22"/>
      <c r="Y72" s="64">
        <f t="shared" si="3"/>
        <v>2.8553452319783901E-3</v>
      </c>
      <c r="Z72" s="64">
        <f t="shared" si="3"/>
        <v>2.5147573025030567E-3</v>
      </c>
      <c r="AA72" s="64">
        <f t="shared" si="3"/>
        <v>3.0107056700332535E-3</v>
      </c>
      <c r="AB72" s="22"/>
      <c r="AC72" s="106">
        <v>1561.3318412692399</v>
      </c>
      <c r="AD72" s="65">
        <f t="shared" si="5"/>
        <v>3.5024194346633397E-3</v>
      </c>
      <c r="AE72" s="66">
        <v>4.2254791383650901E-3</v>
      </c>
      <c r="AF72" s="64">
        <v>-1.59029625742673E-2</v>
      </c>
      <c r="AG72" s="64">
        <v>8.493997765150009E-3</v>
      </c>
      <c r="AH72" s="22"/>
      <c r="AI72" s="106">
        <v>1560.90929335541</v>
      </c>
      <c r="AJ72" s="106">
        <v>1381.5792759994999</v>
      </c>
      <c r="AK72" s="106">
        <v>1542.76882819919</v>
      </c>
      <c r="AL72" s="22"/>
      <c r="AM72" s="64">
        <f t="shared" si="4"/>
        <v>2.9138208715531189E-3</v>
      </c>
      <c r="AN72" s="64">
        <f t="shared" si="4"/>
        <v>-2.8378684403270737E-3</v>
      </c>
      <c r="AO72" s="65">
        <f t="shared" si="4"/>
        <v>4.236754942498866E-3</v>
      </c>
      <c r="AP72" s="66">
        <v>8.2231937056312307E-3</v>
      </c>
      <c r="AQ72" s="22"/>
      <c r="AR72" s="64">
        <v>3.5227908174631596E-2</v>
      </c>
      <c r="AS72" s="64">
        <v>4.1972470737710295E-3</v>
      </c>
      <c r="AT72" s="64">
        <v>3.7586171504672999E-2</v>
      </c>
      <c r="AU72" s="64">
        <v>-6.5555104038124397E-3</v>
      </c>
      <c r="AV72" s="67"/>
      <c r="AW72" s="110">
        <v>1560.51288452266</v>
      </c>
    </row>
    <row r="73" spans="1:49" x14ac:dyDescent="0.25">
      <c r="A73" s="41"/>
      <c r="B73" s="41">
        <f t="shared" ref="B73:B107" si="22">B69</f>
        <v>2</v>
      </c>
      <c r="C73" s="101">
        <v>7295699.0429999996</v>
      </c>
      <c r="D73" s="102"/>
      <c r="E73" s="102">
        <v>4505197.5999999996</v>
      </c>
      <c r="F73" s="103">
        <v>6731828.3080000002</v>
      </c>
      <c r="G73" s="101">
        <v>1388221.8689999999</v>
      </c>
      <c r="I73" s="106">
        <v>819507.1</v>
      </c>
      <c r="J73" s="103">
        <v>852837.62199999997</v>
      </c>
      <c r="K73" s="105">
        <v>1979480.9849999999</v>
      </c>
      <c r="M73" s="106">
        <v>1358877.4</v>
      </c>
      <c r="N73" s="110">
        <v>1781159.679</v>
      </c>
      <c r="O73" s="113">
        <v>1266942</v>
      </c>
      <c r="Q73" s="61">
        <v>-2.1522202524192801E-2</v>
      </c>
      <c r="R73" s="62">
        <v>-2.1545280018747198E-2</v>
      </c>
      <c r="S73" s="62">
        <v>-2.0045853786675699E-2</v>
      </c>
      <c r="T73" s="22"/>
      <c r="U73" s="106">
        <v>1564.12812612128</v>
      </c>
      <c r="V73" s="106">
        <v>1382.52868853468</v>
      </c>
      <c r="W73" s="106">
        <v>1546.27470916733</v>
      </c>
      <c r="X73" s="22"/>
      <c r="Y73" s="64">
        <f t="shared" ref="Y73:AA97" si="23">U73/U69-1</f>
        <v>2.7622095993531381E-3</v>
      </c>
      <c r="Z73" s="64">
        <f t="shared" si="23"/>
        <v>1.9369654106990986E-3</v>
      </c>
      <c r="AA73" s="64">
        <f t="shared" si="23"/>
        <v>2.9934566331890622E-3</v>
      </c>
      <c r="AB73" s="22"/>
      <c r="AC73" s="106">
        <v>1561.9759058688601</v>
      </c>
      <c r="AD73" s="65">
        <f t="shared" si="5"/>
        <v>3.811696623191807E-3</v>
      </c>
      <c r="AE73" s="66">
        <v>-3.2063307504631199E-3</v>
      </c>
      <c r="AF73" s="64">
        <v>-8.9988597122937202E-3</v>
      </c>
      <c r="AG73" s="64">
        <v>-1.26329422586072E-3</v>
      </c>
      <c r="AH73" s="22"/>
      <c r="AI73" s="106">
        <v>1562.2965389439</v>
      </c>
      <c r="AJ73" s="106">
        <v>1381.2740465040399</v>
      </c>
      <c r="AK73" s="106">
        <v>1544.39645321125</v>
      </c>
      <c r="AL73" s="22"/>
      <c r="AM73" s="64">
        <f t="shared" ref="AM73:AO97" si="24">AI73/AI69-1</f>
        <v>3.4924279825834237E-3</v>
      </c>
      <c r="AN73" s="64">
        <f t="shared" si="24"/>
        <v>-1.9292601611820004E-3</v>
      </c>
      <c r="AO73" s="65">
        <f t="shared" si="24"/>
        <v>4.6369181546550564E-3</v>
      </c>
      <c r="AP73" s="66">
        <v>6.4106209071400199E-3</v>
      </c>
      <c r="AQ73" s="22"/>
      <c r="AR73" s="64">
        <v>3.2372476081090597E-2</v>
      </c>
      <c r="AS73" s="64">
        <v>3.6831987162227698E-3</v>
      </c>
      <c r="AT73" s="64">
        <v>3.5829455043856401E-2</v>
      </c>
      <c r="AU73" s="64">
        <v>-7.1401776789886094E-3</v>
      </c>
      <c r="AV73" s="67"/>
      <c r="AW73" s="110">
        <v>1561.3368898414601</v>
      </c>
    </row>
    <row r="74" spans="1:49" x14ac:dyDescent="0.25">
      <c r="A74" s="41"/>
      <c r="B74" s="41">
        <f t="shared" si="22"/>
        <v>3</v>
      </c>
      <c r="C74" s="101">
        <v>7241001.7920000004</v>
      </c>
      <c r="D74" s="102"/>
      <c r="E74" s="102">
        <v>4500544.0999999996</v>
      </c>
      <c r="F74" s="103">
        <v>6388502.9160000002</v>
      </c>
      <c r="G74" s="101">
        <v>1904132.753</v>
      </c>
      <c r="I74" s="106">
        <v>1062329</v>
      </c>
      <c r="J74" s="103">
        <v>1118564.719</v>
      </c>
      <c r="K74" s="105">
        <v>1781575.9000000004</v>
      </c>
      <c r="M74" s="106">
        <v>1335708.7000000002</v>
      </c>
      <c r="N74" s="110">
        <v>1741713.9999999995</v>
      </c>
      <c r="O74" s="113">
        <v>1142926</v>
      </c>
      <c r="Q74" s="61">
        <v>-1.9404385272744001E-2</v>
      </c>
      <c r="R74" s="62">
        <v>1.9725566398023999E-2</v>
      </c>
      <c r="S74" s="62">
        <v>-2.7372545122270799E-2</v>
      </c>
      <c r="T74" s="22"/>
      <c r="U74" s="106">
        <v>1565.1203646132401</v>
      </c>
      <c r="V74" s="106">
        <v>1382.73863097155</v>
      </c>
      <c r="W74" s="106">
        <v>1547.40930380196</v>
      </c>
      <c r="X74" s="22"/>
      <c r="Y74" s="64">
        <f t="shared" si="23"/>
        <v>2.6726960870881999E-3</v>
      </c>
      <c r="Z74" s="64">
        <f t="shared" si="23"/>
        <v>1.3899002049377884E-3</v>
      </c>
      <c r="AA74" s="64">
        <f t="shared" si="23"/>
        <v>2.9740083906852899E-3</v>
      </c>
      <c r="AB74" s="22"/>
      <c r="AC74" s="106">
        <v>1563.17992608597</v>
      </c>
      <c r="AD74" s="65">
        <f t="shared" ref="AD74:AD97" si="25">AC74/AC70-1</f>
        <v>4.7739399757029677E-3</v>
      </c>
      <c r="AE74" s="66">
        <v>-4.90922045986874E-3</v>
      </c>
      <c r="AF74" s="64">
        <v>3.4135912775452304E-2</v>
      </c>
      <c r="AG74" s="64">
        <v>-1.3162313616599398E-2</v>
      </c>
      <c r="AH74" s="22"/>
      <c r="AI74" s="106">
        <v>1563.6708481319599</v>
      </c>
      <c r="AJ74" s="106">
        <v>1381.2975963337999</v>
      </c>
      <c r="AK74" s="106">
        <v>1545.9882806513999</v>
      </c>
      <c r="AL74" s="22"/>
      <c r="AM74" s="64">
        <f t="shared" si="24"/>
        <v>3.8182026934940883E-3</v>
      </c>
      <c r="AN74" s="64">
        <f t="shared" si="24"/>
        <v>-3.303061535994134E-4</v>
      </c>
      <c r="AO74" s="65">
        <f t="shared" si="24"/>
        <v>4.695663647344972E-3</v>
      </c>
      <c r="AP74" s="66">
        <v>1.1325146479907299E-2</v>
      </c>
      <c r="AQ74" s="22"/>
      <c r="AR74" s="64">
        <v>3.0538213543141998E-2</v>
      </c>
      <c r="AS74" s="64">
        <v>3.09445885165243E-3</v>
      </c>
      <c r="AT74" s="64">
        <v>3.5485773800210202E-2</v>
      </c>
      <c r="AU74" s="64">
        <v>-8.0420191087206497E-3</v>
      </c>
      <c r="AV74" s="67"/>
      <c r="AW74" s="110">
        <v>1562.05377637431</v>
      </c>
    </row>
    <row r="75" spans="1:49" x14ac:dyDescent="0.25">
      <c r="A75" s="41"/>
      <c r="B75" s="41">
        <f t="shared" si="22"/>
        <v>4</v>
      </c>
      <c r="C75" s="101">
        <v>7748475.5970000001</v>
      </c>
      <c r="D75" s="102"/>
      <c r="E75" s="102">
        <v>4829252.4000000004</v>
      </c>
      <c r="F75" s="103">
        <v>6874771.9800000004</v>
      </c>
      <c r="G75" s="101">
        <v>2040130.422</v>
      </c>
      <c r="I75" s="106">
        <v>1094299.7</v>
      </c>
      <c r="J75" s="103">
        <v>1155998.5260000001</v>
      </c>
      <c r="K75" s="105">
        <v>2997042.1999999993</v>
      </c>
      <c r="M75" s="106">
        <v>1985198</v>
      </c>
      <c r="N75" s="110">
        <v>2887641.5</v>
      </c>
      <c r="O75" s="113">
        <v>1274650</v>
      </c>
      <c r="Q75" s="61">
        <v>-1.4149462822738299E-2</v>
      </c>
      <c r="R75" s="62">
        <v>-8.5191557416931102E-2</v>
      </c>
      <c r="S75" s="62">
        <v>8.5718806746626797E-4</v>
      </c>
      <c r="T75" s="22"/>
      <c r="U75" s="106">
        <v>1566.07676041337</v>
      </c>
      <c r="V75" s="106">
        <v>1382.7852007429101</v>
      </c>
      <c r="W75" s="106">
        <v>1548.5292689902501</v>
      </c>
      <c r="X75" s="22"/>
      <c r="Y75" s="64">
        <f t="shared" si="23"/>
        <v>2.5828764475950283E-3</v>
      </c>
      <c r="Z75" s="64">
        <f t="shared" si="23"/>
        <v>8.7207814343237544E-4</v>
      </c>
      <c r="AA75" s="64">
        <f t="shared" si="23"/>
        <v>2.9478341309217004E-3</v>
      </c>
      <c r="AB75" s="22"/>
      <c r="AC75" s="106">
        <v>1564.6618141310901</v>
      </c>
      <c r="AD75" s="65">
        <f t="shared" si="25"/>
        <v>2.091341275061831E-3</v>
      </c>
      <c r="AE75" s="66">
        <v>-5.7715949516781197E-3</v>
      </c>
      <c r="AF75" s="64">
        <v>-5.8287371408628497E-2</v>
      </c>
      <c r="AG75" s="64">
        <v>4.6262631812731703E-3</v>
      </c>
      <c r="AH75" s="22"/>
      <c r="AI75" s="106">
        <v>1565.2389736262601</v>
      </c>
      <c r="AJ75" s="106">
        <v>1380.09478214208</v>
      </c>
      <c r="AK75" s="106">
        <v>1548.15236147887</v>
      </c>
      <c r="AL75" s="22"/>
      <c r="AM75" s="64">
        <f t="shared" si="24"/>
        <v>3.5600615105264577E-3</v>
      </c>
      <c r="AN75" s="64">
        <f t="shared" si="24"/>
        <v>-2.0116376691767801E-3</v>
      </c>
      <c r="AO75" s="65">
        <f t="shared" si="24"/>
        <v>4.6857026289519599E-3</v>
      </c>
      <c r="AP75" s="66">
        <v>1.2867032485891201E-2</v>
      </c>
      <c r="AQ75" s="22"/>
      <c r="AR75" s="64">
        <v>3.8596883034457997E-2</v>
      </c>
      <c r="AS75" s="64">
        <v>2.4555786474905398E-3</v>
      </c>
      <c r="AT75" s="64">
        <v>4.5587893286417699E-2</v>
      </c>
      <c r="AU75" s="64">
        <v>-9.4465888994501694E-3</v>
      </c>
      <c r="AV75" s="67"/>
      <c r="AW75" s="110">
        <v>1563.3833185779399</v>
      </c>
    </row>
    <row r="76" spans="1:49" x14ac:dyDescent="0.25">
      <c r="A76" s="41">
        <f t="shared" ref="A76" si="26">A72+1</f>
        <v>2018</v>
      </c>
      <c r="B76" s="41">
        <f t="shared" si="22"/>
        <v>1</v>
      </c>
      <c r="C76" s="101">
        <v>6693178.4189999998</v>
      </c>
      <c r="D76" s="102"/>
      <c r="E76" s="102">
        <v>3245636.1</v>
      </c>
      <c r="F76" s="103">
        <v>4836449.5920000002</v>
      </c>
      <c r="G76" s="101">
        <v>2073639.321</v>
      </c>
      <c r="I76" s="106">
        <v>798447</v>
      </c>
      <c r="J76" s="103">
        <v>827384.60400000005</v>
      </c>
      <c r="K76" s="105">
        <v>1841696.5</v>
      </c>
      <c r="M76" s="106">
        <v>1134691.8999999999</v>
      </c>
      <c r="N76" s="110">
        <v>1567757.7</v>
      </c>
      <c r="O76" s="113">
        <v>1238869</v>
      </c>
      <c r="Q76" s="61">
        <v>2.5702028066848398E-3</v>
      </c>
      <c r="R76" s="62">
        <v>1.4738637553818898E-4</v>
      </c>
      <c r="S76" s="62">
        <v>6.0372457052994795E-3</v>
      </c>
      <c r="T76" s="22"/>
      <c r="U76" s="106">
        <v>1566.9942451263701</v>
      </c>
      <c r="V76" s="106">
        <v>1382.6788767897301</v>
      </c>
      <c r="W76" s="106">
        <v>1549.6285190456199</v>
      </c>
      <c r="X76" s="22"/>
      <c r="Y76" s="64">
        <f t="shared" si="23"/>
        <v>2.4901412801743295E-3</v>
      </c>
      <c r="Z76" s="64">
        <f t="shared" si="23"/>
        <v>3.8545088681463113E-4</v>
      </c>
      <c r="AA76" s="64">
        <f t="shared" si="23"/>
        <v>2.9115087173270382E-3</v>
      </c>
      <c r="AB76" s="22"/>
      <c r="AC76" s="106">
        <v>1567.2512654070399</v>
      </c>
      <c r="AD76" s="65">
        <f t="shared" si="25"/>
        <v>3.7912658804089006E-3</v>
      </c>
      <c r="AE76" s="66">
        <v>1.1965809254492101E-3</v>
      </c>
      <c r="AF76" s="64">
        <v>8.2692753162441606E-3</v>
      </c>
      <c r="AG76" s="64">
        <v>1.08418887535206E-3</v>
      </c>
      <c r="AH76" s="22"/>
      <c r="AI76" s="106">
        <v>1567.1316073144901</v>
      </c>
      <c r="AJ76" s="106">
        <v>1381.8666878956501</v>
      </c>
      <c r="AK76" s="106">
        <v>1550.1238247286201</v>
      </c>
      <c r="AL76" s="22"/>
      <c r="AM76" s="64">
        <f t="shared" si="24"/>
        <v>3.9863392354493321E-3</v>
      </c>
      <c r="AN76" s="64">
        <f t="shared" si="24"/>
        <v>2.0803141820602278E-4</v>
      </c>
      <c r="AO76" s="65">
        <f t="shared" si="24"/>
        <v>4.7674002708593122E-3</v>
      </c>
      <c r="AP76" s="66">
        <v>2.1391685929228701E-2</v>
      </c>
      <c r="AQ76" s="22"/>
      <c r="AR76" s="64">
        <v>4.7302398032759305E-2</v>
      </c>
      <c r="AS76" s="64">
        <v>1.7883829993243399E-3</v>
      </c>
      <c r="AT76" s="64">
        <v>5.67384270417432E-2</v>
      </c>
      <c r="AU76" s="64">
        <v>-1.1224412008308199E-2</v>
      </c>
      <c r="AV76" s="67"/>
      <c r="AW76" s="110">
        <v>1565.1346558749501</v>
      </c>
    </row>
    <row r="77" spans="1:49" x14ac:dyDescent="0.25">
      <c r="A77" s="41"/>
      <c r="B77" s="41">
        <f t="shared" si="22"/>
        <v>2</v>
      </c>
      <c r="C77" s="101">
        <v>8743104.0079999994</v>
      </c>
      <c r="D77" s="102"/>
      <c r="E77" s="102">
        <v>4809275.7</v>
      </c>
      <c r="F77" s="103">
        <v>7225676.2980000004</v>
      </c>
      <c r="G77" s="101">
        <v>1855861.871</v>
      </c>
      <c r="I77" s="106">
        <v>830276.9</v>
      </c>
      <c r="J77" s="103">
        <v>873070.92200000002</v>
      </c>
      <c r="K77" s="105">
        <v>3099295</v>
      </c>
      <c r="M77" s="106">
        <v>1732772</v>
      </c>
      <c r="N77" s="110">
        <v>2630847.2999999998</v>
      </c>
      <c r="O77" s="113">
        <v>1256356</v>
      </c>
      <c r="Q77" s="61">
        <v>1.5921202028578101E-2</v>
      </c>
      <c r="R77" s="62">
        <v>1.77264205700748E-2</v>
      </c>
      <c r="S77" s="62">
        <v>1.80235161070731E-2</v>
      </c>
      <c r="T77" s="22"/>
      <c r="U77" s="106">
        <v>1567.8688660155401</v>
      </c>
      <c r="V77" s="106">
        <v>1382.4248135806299</v>
      </c>
      <c r="W77" s="106">
        <v>1550.70102185575</v>
      </c>
      <c r="X77" s="22"/>
      <c r="Y77" s="64">
        <f t="shared" si="23"/>
        <v>2.3915815026844811E-3</v>
      </c>
      <c r="Z77" s="64">
        <f t="shared" si="23"/>
        <v>-7.5134031511603361E-5</v>
      </c>
      <c r="AA77" s="64">
        <f t="shared" si="23"/>
        <v>2.8625655339105105E-3</v>
      </c>
      <c r="AB77" s="22"/>
      <c r="AC77" s="106">
        <v>1569.4609862184</v>
      </c>
      <c r="AD77" s="65">
        <f t="shared" si="25"/>
        <v>4.7920587772294354E-3</v>
      </c>
      <c r="AE77" s="66">
        <v>3.3609484853326299E-3</v>
      </c>
      <c r="AF77" s="64">
        <v>7.3274776902895796E-3</v>
      </c>
      <c r="AG77" s="64">
        <v>3.6722701838455803E-3</v>
      </c>
      <c r="AH77" s="22"/>
      <c r="AI77" s="106">
        <v>1569.1248913698701</v>
      </c>
      <c r="AJ77" s="106">
        <v>1383.46470786861</v>
      </c>
      <c r="AK77" s="106">
        <v>1552.1361464480699</v>
      </c>
      <c r="AL77" s="22"/>
      <c r="AM77" s="64">
        <f t="shared" si="24"/>
        <v>4.37071468556538E-3</v>
      </c>
      <c r="AN77" s="64">
        <f t="shared" si="24"/>
        <v>1.5859715674195751E-3</v>
      </c>
      <c r="AO77" s="65">
        <f t="shared" si="24"/>
        <v>5.0114678913739663E-3</v>
      </c>
      <c r="AP77" s="66">
        <v>3.01527852820722E-2</v>
      </c>
      <c r="AQ77" s="22"/>
      <c r="AR77" s="64">
        <v>5.28848124718981E-2</v>
      </c>
      <c r="AS77" s="64">
        <v>1.11783043098392E-3</v>
      </c>
      <c r="AT77" s="64">
        <v>6.5017637285278498E-2</v>
      </c>
      <c r="AU77" s="64">
        <v>-1.32506552443643E-2</v>
      </c>
      <c r="AV77" s="67"/>
      <c r="AW77" s="110">
        <v>1566.4902735717701</v>
      </c>
    </row>
    <row r="78" spans="1:49" x14ac:dyDescent="0.25">
      <c r="A78" s="41"/>
      <c r="B78" s="41">
        <f t="shared" si="22"/>
        <v>3</v>
      </c>
      <c r="C78" s="101">
        <v>8269321.0719999997</v>
      </c>
      <c r="D78" s="102"/>
      <c r="E78" s="102">
        <v>4795031.8</v>
      </c>
      <c r="F78" s="103">
        <v>6841775.0800000001</v>
      </c>
      <c r="G78" s="101">
        <v>2038531.486</v>
      </c>
      <c r="I78" s="106">
        <v>1063272.5</v>
      </c>
      <c r="J78" s="103">
        <v>1102810.05</v>
      </c>
      <c r="K78" s="105">
        <v>3523811.8000000007</v>
      </c>
      <c r="M78" s="106">
        <v>1683740.1999999997</v>
      </c>
      <c r="N78" s="110">
        <v>3076032.0999999996</v>
      </c>
      <c r="O78" s="113">
        <v>1143126</v>
      </c>
      <c r="Q78" s="61">
        <v>1.8135315542078801E-2</v>
      </c>
      <c r="R78" s="62">
        <v>1.3007498666195201E-2</v>
      </c>
      <c r="S78" s="62">
        <v>2.0199853444303199E-2</v>
      </c>
      <c r="T78" s="22"/>
      <c r="U78" s="106">
        <v>1568.6968309818501</v>
      </c>
      <c r="V78" s="106">
        <v>1382.02817479589</v>
      </c>
      <c r="W78" s="106">
        <v>1551.7411226361601</v>
      </c>
      <c r="X78" s="22"/>
      <c r="Y78" s="64">
        <f t="shared" si="23"/>
        <v>2.2851062764708274E-3</v>
      </c>
      <c r="Z78" s="64">
        <f t="shared" si="23"/>
        <v>-5.138036645152555E-4</v>
      </c>
      <c r="AA78" s="64">
        <f t="shared" si="23"/>
        <v>2.7994007943190624E-3</v>
      </c>
      <c r="AB78" s="22"/>
      <c r="AC78" s="106">
        <v>1570.51036253606</v>
      </c>
      <c r="AD78" s="65">
        <f t="shared" si="25"/>
        <v>4.6894387061664489E-3</v>
      </c>
      <c r="AE78" s="66">
        <v>-4.73725793072195E-3</v>
      </c>
      <c r="AF78" s="64">
        <v>-2.58151479537807E-2</v>
      </c>
      <c r="AG78" s="64">
        <v>-1.15355063384579E-3</v>
      </c>
      <c r="AH78" s="22"/>
      <c r="AI78" s="106">
        <v>1570.9840883291299</v>
      </c>
      <c r="AJ78" s="106">
        <v>1385.9104394578901</v>
      </c>
      <c r="AK78" s="106">
        <v>1553.87646304397</v>
      </c>
      <c r="AL78" s="22"/>
      <c r="AM78" s="64">
        <f t="shared" si="24"/>
        <v>4.6769690730672497E-3</v>
      </c>
      <c r="AN78" s="64">
        <f t="shared" si="24"/>
        <v>3.3394998560292155E-3</v>
      </c>
      <c r="AO78" s="65">
        <f t="shared" si="24"/>
        <v>5.1023558789504708E-3</v>
      </c>
      <c r="AP78" s="66">
        <v>2.4659077162122699E-2</v>
      </c>
      <c r="AQ78" s="22"/>
      <c r="AR78" s="64">
        <v>6.2055213944738695E-2</v>
      </c>
      <c r="AS78" s="64">
        <v>4.7396494569919496E-4</v>
      </c>
      <c r="AT78" s="64">
        <v>7.7289884198171899E-2</v>
      </c>
      <c r="AU78" s="64">
        <v>-1.5708635199132299E-2</v>
      </c>
      <c r="AV78" s="67"/>
      <c r="AW78" s="110">
        <v>1568.0743675743199</v>
      </c>
    </row>
    <row r="79" spans="1:49" x14ac:dyDescent="0.25">
      <c r="A79" s="41"/>
      <c r="B79" s="41">
        <f t="shared" si="22"/>
        <v>4</v>
      </c>
      <c r="C79" s="101">
        <v>8877025.5600000005</v>
      </c>
      <c r="D79" s="102"/>
      <c r="E79" s="102">
        <v>5265908.7</v>
      </c>
      <c r="F79" s="103">
        <v>7542770.3039999995</v>
      </c>
      <c r="G79" s="101">
        <v>2402756.4950000001</v>
      </c>
      <c r="I79" s="106">
        <v>1280875</v>
      </c>
      <c r="J79" s="103">
        <v>1331559.878</v>
      </c>
      <c r="K79" s="105">
        <v>4365560.7999999989</v>
      </c>
      <c r="M79" s="106">
        <v>2117199</v>
      </c>
      <c r="N79" s="110">
        <v>3762909.4000000004</v>
      </c>
      <c r="O79" s="113">
        <v>1162197</v>
      </c>
      <c r="Q79" s="61">
        <v>3.7350394779525599E-2</v>
      </c>
      <c r="R79" s="62">
        <v>6.4587071252487901E-2</v>
      </c>
      <c r="S79" s="62">
        <v>3.1931655347541402E-2</v>
      </c>
      <c r="T79" s="22"/>
      <c r="U79" s="106">
        <v>1569.4753430014</v>
      </c>
      <c r="V79" s="106">
        <v>1381.4952320170801</v>
      </c>
      <c r="W79" s="106">
        <v>1552.74429307214</v>
      </c>
      <c r="X79" s="22"/>
      <c r="Y79" s="64">
        <f t="shared" si="23"/>
        <v>2.1701251649586251E-3</v>
      </c>
      <c r="Z79" s="64">
        <f t="shared" si="23"/>
        <v>-9.3287715629075674E-4</v>
      </c>
      <c r="AA79" s="64">
        <f t="shared" si="23"/>
        <v>2.7219531243594108E-3</v>
      </c>
      <c r="AB79" s="22"/>
      <c r="AC79" s="106">
        <v>1573.2103824793501</v>
      </c>
      <c r="AD79" s="65">
        <f t="shared" si="25"/>
        <v>5.46352462305566E-3</v>
      </c>
      <c r="AE79" s="66">
        <v>2.9085722635567701E-3</v>
      </c>
      <c r="AF79" s="64">
        <v>-5.95149675982429E-3</v>
      </c>
      <c r="AG79" s="64">
        <v>2.8317289326788802E-3</v>
      </c>
      <c r="AH79" s="22"/>
      <c r="AI79" s="106">
        <v>1572.9195252530001</v>
      </c>
      <c r="AJ79" s="106">
        <v>1388.5490888183101</v>
      </c>
      <c r="AK79" s="106">
        <v>1555.6542857136301</v>
      </c>
      <c r="AL79" s="22"/>
      <c r="AM79" s="64">
        <f t="shared" si="24"/>
        <v>4.9069514343527132E-3</v>
      </c>
      <c r="AN79" s="64">
        <f t="shared" si="24"/>
        <v>6.1258884430444027E-3</v>
      </c>
      <c r="AO79" s="65">
        <f t="shared" si="24"/>
        <v>4.8457273466249173E-3</v>
      </c>
      <c r="AP79" s="66">
        <v>3.6681249883969001E-2</v>
      </c>
      <c r="AQ79" s="22"/>
      <c r="AR79" s="64">
        <v>6.4224254456132002E-2</v>
      </c>
      <c r="AS79" s="64">
        <v>-1.16691220202859E-4</v>
      </c>
      <c r="AT79" s="64">
        <v>8.2487613693721998E-2</v>
      </c>
      <c r="AU79" s="64">
        <v>-1.8146668017387201E-2</v>
      </c>
      <c r="AV79" s="67"/>
      <c r="AW79" s="110">
        <v>1569.60793199573</v>
      </c>
    </row>
    <row r="80" spans="1:49" x14ac:dyDescent="0.25">
      <c r="A80" s="41">
        <f t="shared" ref="A80" si="27">A76+1</f>
        <v>2019</v>
      </c>
      <c r="B80" s="41">
        <f t="shared" si="22"/>
        <v>1</v>
      </c>
      <c r="C80" s="101">
        <v>7970929.3140000002</v>
      </c>
      <c r="D80" s="102"/>
      <c r="E80" s="102">
        <v>3531787.8849999998</v>
      </c>
      <c r="F80" s="103">
        <v>5252559.3739999998</v>
      </c>
      <c r="G80" s="101">
        <v>2627353.4130000002</v>
      </c>
      <c r="I80" s="106">
        <v>914130.71100000001</v>
      </c>
      <c r="J80" s="103">
        <v>955834.00100000005</v>
      </c>
      <c r="K80" s="105">
        <v>1980863.3</v>
      </c>
      <c r="M80" s="106">
        <v>1409935.666</v>
      </c>
      <c r="N80" s="110">
        <v>1643447.2</v>
      </c>
      <c r="O80" s="113">
        <v>1155614</v>
      </c>
      <c r="Q80" s="61">
        <v>5.0407547359816299E-2</v>
      </c>
      <c r="R80" s="62">
        <v>0.1527225460618</v>
      </c>
      <c r="S80" s="62">
        <v>3.16111430030264E-2</v>
      </c>
      <c r="T80" s="22"/>
      <c r="U80" s="106">
        <v>1570.2027385075</v>
      </c>
      <c r="V80" s="106">
        <v>1380.83306979441</v>
      </c>
      <c r="W80" s="106">
        <v>1553.70726733982</v>
      </c>
      <c r="X80" s="22"/>
      <c r="Y80" s="64">
        <f t="shared" si="23"/>
        <v>2.0475463717297693E-3</v>
      </c>
      <c r="Z80" s="64">
        <f t="shared" si="23"/>
        <v>-1.3349498761460188E-3</v>
      </c>
      <c r="AA80" s="64">
        <f t="shared" si="23"/>
        <v>2.6320813305062973E-3</v>
      </c>
      <c r="AB80" s="22"/>
      <c r="AC80" s="106">
        <v>1575.2434932434801</v>
      </c>
      <c r="AD80" s="65">
        <f t="shared" si="25"/>
        <v>5.0995191472149592E-3</v>
      </c>
      <c r="AE80" s="66">
        <v>9.3622952991689306E-3</v>
      </c>
      <c r="AF80" s="64">
        <v>6.4602772223920593E-2</v>
      </c>
      <c r="AG80" s="64">
        <v>-2.7968724679210701E-3</v>
      </c>
      <c r="AH80" s="22"/>
      <c r="AI80" s="106">
        <v>1574.3072637135699</v>
      </c>
      <c r="AJ80" s="106">
        <v>1389.64504717819</v>
      </c>
      <c r="AK80" s="106">
        <v>1557.1480688869201</v>
      </c>
      <c r="AL80" s="22"/>
      <c r="AM80" s="64">
        <f t="shared" si="24"/>
        <v>4.5788473447845313E-3</v>
      </c>
      <c r="AN80" s="64">
        <f t="shared" si="24"/>
        <v>5.6288782055995412E-3</v>
      </c>
      <c r="AO80" s="65">
        <f t="shared" si="24"/>
        <v>4.5314084244396646E-3</v>
      </c>
      <c r="AP80" s="66">
        <v>4.60405948755701E-2</v>
      </c>
      <c r="AQ80" s="22"/>
      <c r="AR80" s="64">
        <v>5.7678274865570603E-2</v>
      </c>
      <c r="AS80" s="64">
        <v>-6.2752451684443299E-4</v>
      </c>
      <c r="AT80" s="64">
        <v>7.8642625177079706E-2</v>
      </c>
      <c r="AU80" s="64">
        <v>-2.0336825794664601E-2</v>
      </c>
      <c r="AV80" s="67"/>
      <c r="AW80" s="110">
        <v>1570.74227579127</v>
      </c>
    </row>
    <row r="81" spans="1:49" x14ac:dyDescent="0.25">
      <c r="A81" s="41"/>
      <c r="B81" s="41">
        <f t="shared" si="22"/>
        <v>2</v>
      </c>
      <c r="C81" s="101">
        <v>9969882.7310000006</v>
      </c>
      <c r="D81" s="102"/>
      <c r="E81" s="102">
        <v>5148769.5140000004</v>
      </c>
      <c r="F81" s="103">
        <v>7720480.1660000002</v>
      </c>
      <c r="G81" s="101">
        <v>2044911.8740000001</v>
      </c>
      <c r="I81" s="106">
        <v>924069.23</v>
      </c>
      <c r="J81" s="103">
        <v>951524.07900000003</v>
      </c>
      <c r="K81" s="105">
        <v>3294866.2</v>
      </c>
      <c r="M81" s="106">
        <v>2148561.4170000004</v>
      </c>
      <c r="N81" s="110">
        <v>2778976.5999999996</v>
      </c>
      <c r="O81" s="113">
        <v>1188439</v>
      </c>
      <c r="Q81" s="61">
        <v>5.9360047363231798E-2</v>
      </c>
      <c r="R81" s="62">
        <v>0.147661829758503</v>
      </c>
      <c r="S81" s="62">
        <v>5.0660541291135799E-2</v>
      </c>
      <c r="T81" s="22"/>
      <c r="U81" s="106">
        <v>1570.8796883331499</v>
      </c>
      <c r="V81" s="106">
        <v>1380.05280937006</v>
      </c>
      <c r="W81" s="106">
        <v>1554.6287753438</v>
      </c>
      <c r="X81" s="22"/>
      <c r="Y81" s="64">
        <f t="shared" si="23"/>
        <v>1.9203278940420621E-3</v>
      </c>
      <c r="Z81" s="64">
        <f t="shared" si="23"/>
        <v>-1.7158287288161489E-3</v>
      </c>
      <c r="AA81" s="64">
        <f t="shared" si="23"/>
        <v>2.5328889532487686E-3</v>
      </c>
      <c r="AB81" s="22"/>
      <c r="AC81" s="106">
        <v>1576.8156930694699</v>
      </c>
      <c r="AD81" s="65">
        <f t="shared" si="25"/>
        <v>4.6861355048977149E-3</v>
      </c>
      <c r="AE81" s="66">
        <v>1.8913722628444801E-2</v>
      </c>
      <c r="AF81" s="64">
        <v>8.1933128867895999E-2</v>
      </c>
      <c r="AG81" s="64">
        <v>1.1479294652790899E-2</v>
      </c>
      <c r="AH81" s="22"/>
      <c r="AI81" s="106">
        <v>1574.92432080662</v>
      </c>
      <c r="AJ81" s="106">
        <v>1386.62567945912</v>
      </c>
      <c r="AK81" s="106">
        <v>1558.54690000763</v>
      </c>
      <c r="AL81" s="22"/>
      <c r="AM81" s="64">
        <f t="shared" si="24"/>
        <v>3.6959642082325939E-3</v>
      </c>
      <c r="AN81" s="64">
        <f t="shared" si="24"/>
        <v>2.2848227154126377E-3</v>
      </c>
      <c r="AO81" s="65">
        <f t="shared" si="24"/>
        <v>4.1302778588274691E-3</v>
      </c>
      <c r="AP81" s="66">
        <v>5.1734294374595896E-2</v>
      </c>
      <c r="AQ81" s="22"/>
      <c r="AR81" s="64">
        <v>5.4233206780803497E-2</v>
      </c>
      <c r="AS81" s="64">
        <v>-1.0458384525748E-3</v>
      </c>
      <c r="AT81" s="64">
        <v>7.7984602550551799E-2</v>
      </c>
      <c r="AU81" s="64">
        <v>-2.27055573171734E-2</v>
      </c>
      <c r="AV81" s="67"/>
      <c r="AW81" s="110">
        <v>1571.7716420168099</v>
      </c>
    </row>
    <row r="82" spans="1:49" x14ac:dyDescent="0.25">
      <c r="A82" s="41"/>
      <c r="B82" s="41">
        <f t="shared" si="22"/>
        <v>3</v>
      </c>
      <c r="C82" s="101">
        <v>9676423.2780000009</v>
      </c>
      <c r="D82" s="102"/>
      <c r="E82" s="102">
        <v>5055350.6449999996</v>
      </c>
      <c r="F82" s="103">
        <v>7215428.7460000003</v>
      </c>
      <c r="G82" s="101">
        <v>2564258.3470000001</v>
      </c>
      <c r="I82" s="106">
        <v>1042680.767</v>
      </c>
      <c r="J82" s="103">
        <v>1075578.825</v>
      </c>
      <c r="K82" s="105">
        <v>3508871.8000000007</v>
      </c>
      <c r="M82" s="106">
        <v>2256966.9959999998</v>
      </c>
      <c r="N82" s="110">
        <v>2860249.2</v>
      </c>
      <c r="O82" s="113">
        <v>1170455</v>
      </c>
      <c r="Q82" s="61">
        <v>4.21836851414377E-2</v>
      </c>
      <c r="R82" s="62">
        <v>1.2816218087371E-2</v>
      </c>
      <c r="S82" s="62">
        <v>4.8472367169458706E-2</v>
      </c>
      <c r="T82" s="22"/>
      <c r="U82" s="106">
        <v>1571.51001378303</v>
      </c>
      <c r="V82" s="106">
        <v>1379.17511714534</v>
      </c>
      <c r="W82" s="106">
        <v>1555.5095226850799</v>
      </c>
      <c r="X82" s="22"/>
      <c r="Y82" s="64">
        <f t="shared" si="23"/>
        <v>1.7933247174466427E-3</v>
      </c>
      <c r="Z82" s="64">
        <f t="shared" si="23"/>
        <v>-2.0643990495862186E-3</v>
      </c>
      <c r="AA82" s="64">
        <f t="shared" si="23"/>
        <v>2.4284978943638347E-3</v>
      </c>
      <c r="AB82" s="22"/>
      <c r="AC82" s="106">
        <v>1575.7283822971699</v>
      </c>
      <c r="AD82" s="65">
        <f t="shared" si="25"/>
        <v>3.3224994152116771E-3</v>
      </c>
      <c r="AE82" s="66">
        <v>1.7587948178490898E-2</v>
      </c>
      <c r="AF82" s="64">
        <v>1.3591472861583E-2</v>
      </c>
      <c r="AG82" s="64">
        <v>1.5512284318491601E-2</v>
      </c>
      <c r="AH82" s="22"/>
      <c r="AI82" s="106">
        <v>1573.9695874793299</v>
      </c>
      <c r="AJ82" s="106">
        <v>1379.0975916679199</v>
      </c>
      <c r="AK82" s="106">
        <v>1558.8055309701799</v>
      </c>
      <c r="AL82" s="22"/>
      <c r="AM82" s="64">
        <f t="shared" si="24"/>
        <v>1.900400629375687E-3</v>
      </c>
      <c r="AN82" s="64">
        <f t="shared" si="24"/>
        <v>-4.9157922445804969E-3</v>
      </c>
      <c r="AO82" s="65">
        <f t="shared" si="24"/>
        <v>3.1721105528261795E-3</v>
      </c>
      <c r="AP82" s="66">
        <v>3.1905693924757797E-2</v>
      </c>
      <c r="AQ82" s="22"/>
      <c r="AR82" s="64">
        <v>4.6166850889643098E-2</v>
      </c>
      <c r="AS82" s="64">
        <v>-1.3698217023424E-3</v>
      </c>
      <c r="AT82" s="64">
        <v>7.2335374978017994E-2</v>
      </c>
      <c r="AU82" s="64">
        <v>-2.47987023860325E-2</v>
      </c>
      <c r="AV82" s="67"/>
      <c r="AW82" s="110">
        <v>1572.5876541943801</v>
      </c>
    </row>
    <row r="83" spans="1:49" x14ac:dyDescent="0.25">
      <c r="A83" s="41"/>
      <c r="B83" s="41">
        <f t="shared" si="22"/>
        <v>4</v>
      </c>
      <c r="C83" s="101">
        <v>10221990.078</v>
      </c>
      <c r="D83" s="102"/>
      <c r="E83" s="102">
        <v>5314553.7960000001</v>
      </c>
      <c r="F83" s="103">
        <v>7739810.1009999998</v>
      </c>
      <c r="G83" s="101">
        <v>2353605.9109999998</v>
      </c>
      <c r="I83" s="106">
        <v>1075551.7790000001</v>
      </c>
      <c r="J83" s="103">
        <v>1085719.727</v>
      </c>
      <c r="K83" s="105">
        <v>4683077.2999999989</v>
      </c>
      <c r="M83" s="106">
        <v>2884448.1129999999</v>
      </c>
      <c r="N83" s="110">
        <v>3774579.8000000007</v>
      </c>
      <c r="O83" s="113">
        <v>1185205</v>
      </c>
      <c r="Q83" s="61">
        <v>3.3086116866531901E-2</v>
      </c>
      <c r="R83" s="62">
        <v>-0.111749753929962</v>
      </c>
      <c r="S83" s="62">
        <v>6.1789675039040003E-2</v>
      </c>
      <c r="T83" s="22"/>
      <c r="U83" s="106">
        <v>1572.1012461648199</v>
      </c>
      <c r="V83" s="106">
        <v>1378.22988838592</v>
      </c>
      <c r="W83" s="106">
        <v>1556.35338124853</v>
      </c>
      <c r="X83" s="22"/>
      <c r="Y83" s="64">
        <f t="shared" si="23"/>
        <v>1.6731088991803755E-3</v>
      </c>
      <c r="Z83" s="64">
        <f t="shared" si="23"/>
        <v>-2.3636300404688004E-3</v>
      </c>
      <c r="AA83" s="64">
        <f t="shared" si="23"/>
        <v>2.3243287336445206E-3</v>
      </c>
      <c r="AB83" s="22"/>
      <c r="AC83" s="106">
        <v>1575.40985785147</v>
      </c>
      <c r="AD83" s="65">
        <f t="shared" si="25"/>
        <v>1.3980808902707142E-3</v>
      </c>
      <c r="AE83" s="66">
        <v>2.5282063923950399E-2</v>
      </c>
      <c r="AF83" s="64">
        <v>-4.1520187241514399E-2</v>
      </c>
      <c r="AG83" s="64">
        <v>4.01655883058901E-2</v>
      </c>
      <c r="AH83" s="22"/>
      <c r="AI83" s="106">
        <v>1572.8816514590801</v>
      </c>
      <c r="AJ83" s="106">
        <v>1371.2069317170799</v>
      </c>
      <c r="AK83" s="106">
        <v>1558.51578992184</v>
      </c>
      <c r="AL83" s="22"/>
      <c r="AM83" s="64">
        <f t="shared" si="24"/>
        <v>-2.4078659659254598E-5</v>
      </c>
      <c r="AN83" s="64">
        <f t="shared" si="24"/>
        <v>-1.2489408722300754E-2</v>
      </c>
      <c r="AO83" s="65">
        <f t="shared" si="24"/>
        <v>1.8394216725969859E-3</v>
      </c>
      <c r="AP83" s="66">
        <v>1.67552023182767E-2</v>
      </c>
      <c r="AQ83" s="22"/>
      <c r="AR83" s="64">
        <v>4.2271927473448205E-2</v>
      </c>
      <c r="AS83" s="64">
        <v>-1.6062103701881901E-3</v>
      </c>
      <c r="AT83" s="64">
        <v>7.0811656591932601E-2</v>
      </c>
      <c r="AU83" s="64">
        <v>-2.6933518748296099E-2</v>
      </c>
      <c r="AV83" s="67"/>
      <c r="AW83" s="110">
        <v>1573.7482196107601</v>
      </c>
    </row>
    <row r="84" spans="1:49" x14ac:dyDescent="0.25">
      <c r="A84" s="41">
        <f t="shared" ref="A84" si="28">A80+1</f>
        <v>2020</v>
      </c>
      <c r="B84" s="41">
        <f t="shared" si="22"/>
        <v>1</v>
      </c>
      <c r="C84" s="101">
        <v>7457244.6560000004</v>
      </c>
      <c r="D84" s="102"/>
      <c r="E84" s="102">
        <v>3154617.7420000001</v>
      </c>
      <c r="F84" s="103">
        <v>4720726.7089999998</v>
      </c>
      <c r="G84" s="101">
        <v>1905729.6340000001</v>
      </c>
      <c r="I84" s="106">
        <v>642711.91</v>
      </c>
      <c r="J84" s="103">
        <v>641400.82200000004</v>
      </c>
      <c r="K84" s="105">
        <v>2003560</v>
      </c>
      <c r="M84" s="106">
        <v>1349223.497</v>
      </c>
      <c r="N84" s="110">
        <v>1473833.2</v>
      </c>
      <c r="O84" s="113">
        <v>1175987</v>
      </c>
      <c r="Q84" s="61">
        <v>-8.4404249553694993E-2</v>
      </c>
      <c r="R84" s="62">
        <v>-0.21872591308316403</v>
      </c>
      <c r="S84" s="62">
        <v>-6.1975251350158897E-2</v>
      </c>
      <c r="T84" s="22"/>
      <c r="U84" s="106">
        <v>1572.66355326649</v>
      </c>
      <c r="V84" s="106">
        <v>1377.2478193710999</v>
      </c>
      <c r="W84" s="106">
        <v>1557.16725244195</v>
      </c>
      <c r="X84" s="22"/>
      <c r="Y84" s="64">
        <f t="shared" si="23"/>
        <v>1.5671955593001829E-3</v>
      </c>
      <c r="Z84" s="64">
        <f t="shared" si="23"/>
        <v>-2.5964401503245638E-3</v>
      </c>
      <c r="AA84" s="64">
        <f t="shared" si="23"/>
        <v>2.2269221331854272E-3</v>
      </c>
      <c r="AB84" s="22"/>
      <c r="AC84" s="106">
        <v>1564.22312831112</v>
      </c>
      <c r="AD84" s="65">
        <f t="shared" si="25"/>
        <v>-6.9959755298965032E-3</v>
      </c>
      <c r="AE84" s="66">
        <v>-6.2710362637543898E-2</v>
      </c>
      <c r="AF84" s="64">
        <v>-0.108412197917672</v>
      </c>
      <c r="AG84" s="64">
        <v>-5.40439234306909E-2</v>
      </c>
      <c r="AH84" s="22"/>
      <c r="AI84" s="106">
        <v>1570.49416457487</v>
      </c>
      <c r="AJ84" s="106">
        <v>1366.2164478545501</v>
      </c>
      <c r="AK84" s="106">
        <v>1556.37411965</v>
      </c>
      <c r="AL84" s="22"/>
      <c r="AM84" s="64">
        <f t="shared" si="24"/>
        <v>-2.4220806360921721E-3</v>
      </c>
      <c r="AN84" s="64">
        <f t="shared" si="24"/>
        <v>-1.6859412676074381E-2</v>
      </c>
      <c r="AO84" s="65">
        <f t="shared" si="24"/>
        <v>-4.9702995648537307E-4</v>
      </c>
      <c r="AP84" s="66">
        <v>-9.4287132937053805E-2</v>
      </c>
      <c r="AQ84" s="22"/>
      <c r="AR84" s="64">
        <v>3.4420609244032202E-2</v>
      </c>
      <c r="AS84" s="64">
        <v>-1.7564068966862201E-3</v>
      </c>
      <c r="AT84" s="64">
        <v>6.4772566392803002E-2</v>
      </c>
      <c r="AU84" s="64">
        <v>-2.85955502520845E-2</v>
      </c>
      <c r="AV84" s="67"/>
      <c r="AW84" s="110">
        <v>1574.12642300529</v>
      </c>
    </row>
    <row r="85" spans="1:49" x14ac:dyDescent="0.25">
      <c r="A85" s="41"/>
      <c r="B85" s="41">
        <f t="shared" si="22"/>
        <v>2</v>
      </c>
      <c r="C85" s="101">
        <v>9501157.3599999994</v>
      </c>
      <c r="D85" s="102"/>
      <c r="E85" s="102">
        <v>4680647.4879999999</v>
      </c>
      <c r="F85" s="103">
        <v>7090270.1370000001</v>
      </c>
      <c r="G85" s="101">
        <v>1488888.773</v>
      </c>
      <c r="I85" s="106">
        <v>654313.99600000004</v>
      </c>
      <c r="J85" s="103">
        <v>665069.63</v>
      </c>
      <c r="K85" s="105">
        <v>2507956.7000000002</v>
      </c>
      <c r="M85" s="106">
        <v>1462802.2880000002</v>
      </c>
      <c r="N85" s="110">
        <v>1834671.5999999999</v>
      </c>
      <c r="O85" s="113">
        <v>1124564</v>
      </c>
      <c r="Q85" s="61">
        <v>-4.2051231321361203E-2</v>
      </c>
      <c r="R85" s="62">
        <v>-0.14904433237697501</v>
      </c>
      <c r="S85" s="62">
        <v>-2.6265769503101999E-2</v>
      </c>
      <c r="T85" s="22"/>
      <c r="U85" s="106">
        <v>1573.2091707583299</v>
      </c>
      <c r="V85" s="106">
        <v>1376.25262202055</v>
      </c>
      <c r="W85" s="106">
        <v>1557.9618995278299</v>
      </c>
      <c r="X85" s="22"/>
      <c r="Y85" s="64">
        <f t="shared" si="23"/>
        <v>1.4829158734950276E-3</v>
      </c>
      <c r="Z85" s="64">
        <f t="shared" si="23"/>
        <v>-2.7536535730430245E-3</v>
      </c>
      <c r="AA85" s="64">
        <f t="shared" si="23"/>
        <v>2.1440000576939955E-3</v>
      </c>
      <c r="AB85" s="22"/>
      <c r="AC85" s="106">
        <v>1569.00404762619</v>
      </c>
      <c r="AD85" s="65">
        <f t="shared" si="25"/>
        <v>-4.9540637359294371E-3</v>
      </c>
      <c r="AE85" s="66">
        <v>-2.18948615261375E-2</v>
      </c>
      <c r="AF85" s="64">
        <v>-6.5883912227268304E-2</v>
      </c>
      <c r="AG85" s="64">
        <v>-1.36064157006983E-2</v>
      </c>
      <c r="AH85" s="22"/>
      <c r="AI85" s="106">
        <v>1571.1935337788</v>
      </c>
      <c r="AJ85" s="106">
        <v>1367.93658000558</v>
      </c>
      <c r="AK85" s="106">
        <v>1556.6959641475901</v>
      </c>
      <c r="AL85" s="22"/>
      <c r="AM85" s="64">
        <f t="shared" si="24"/>
        <v>-2.368867493207083E-3</v>
      </c>
      <c r="AN85" s="64">
        <f t="shared" si="24"/>
        <v>-1.3478114339285807E-2</v>
      </c>
      <c r="AO85" s="65">
        <f t="shared" si="24"/>
        <v>-1.1876035684462716E-3</v>
      </c>
      <c r="AP85" s="66">
        <v>-4.8637800842375206E-2</v>
      </c>
      <c r="AQ85" s="22"/>
      <c r="AR85" s="64">
        <v>2.2432389157611202E-2</v>
      </c>
      <c r="AS85" s="64">
        <v>-1.81683886893089E-3</v>
      </c>
      <c r="AT85" s="64">
        <v>5.3927296366525102E-2</v>
      </c>
      <c r="AU85" s="64">
        <v>-2.9678068339982898E-2</v>
      </c>
      <c r="AV85" s="67"/>
      <c r="AW85" s="110">
        <v>1573.99009038434</v>
      </c>
    </row>
    <row r="86" spans="1:49" x14ac:dyDescent="0.25">
      <c r="A86" s="41"/>
      <c r="B86" s="41">
        <f t="shared" si="22"/>
        <v>3</v>
      </c>
      <c r="C86" s="101">
        <v>9620757.0950000007</v>
      </c>
      <c r="D86" s="102"/>
      <c r="E86" s="102">
        <v>4900306.8020000001</v>
      </c>
      <c r="F86" s="103">
        <v>7024671.9029999999</v>
      </c>
      <c r="G86" s="101">
        <v>2287868.8050000002</v>
      </c>
      <c r="I86" s="106">
        <v>988358.58400000003</v>
      </c>
      <c r="J86" s="103">
        <v>1017928.713</v>
      </c>
      <c r="K86" s="105">
        <v>1919392.5999999996</v>
      </c>
      <c r="M86" s="106">
        <v>1047442.2749999999</v>
      </c>
      <c r="N86" s="110">
        <v>1748485.2999999998</v>
      </c>
      <c r="O86" s="113">
        <v>1054887</v>
      </c>
      <c r="Q86" s="61">
        <v>-7.7175081155155499E-3</v>
      </c>
      <c r="R86" s="62">
        <v>-1.0599952579600501E-2</v>
      </c>
      <c r="S86" s="62">
        <v>-7.2929288388672801E-3</v>
      </c>
      <c r="T86" s="22"/>
      <c r="U86" s="106">
        <v>1573.7450590450201</v>
      </c>
      <c r="V86" s="106">
        <v>1375.25433788439</v>
      </c>
      <c r="W86" s="106">
        <v>1558.7442123154501</v>
      </c>
      <c r="X86" s="22"/>
      <c r="Y86" s="64">
        <f t="shared" si="23"/>
        <v>1.4222278206230676E-3</v>
      </c>
      <c r="Z86" s="64">
        <f t="shared" si="23"/>
        <v>-2.8428436767807819E-3</v>
      </c>
      <c r="AA86" s="64">
        <f t="shared" si="23"/>
        <v>2.0795048716812925E-3</v>
      </c>
      <c r="AB86" s="22"/>
      <c r="AC86" s="106">
        <v>1572.9733082334701</v>
      </c>
      <c r="AD86" s="65">
        <f t="shared" si="25"/>
        <v>-1.7484447793492119E-3</v>
      </c>
      <c r="AE86" s="66">
        <v>6.4246252617758404E-3</v>
      </c>
      <c r="AF86" s="64">
        <v>8.1827688606520791E-3</v>
      </c>
      <c r="AG86" s="64">
        <v>5.31213565425241E-3</v>
      </c>
      <c r="AH86" s="22"/>
      <c r="AI86" s="106">
        <v>1572.3308457072901</v>
      </c>
      <c r="AJ86" s="106">
        <v>1373.37606574036</v>
      </c>
      <c r="AK86" s="106">
        <v>1557.4837058661401</v>
      </c>
      <c r="AL86" s="22"/>
      <c r="AM86" s="64">
        <f t="shared" si="24"/>
        <v>-1.041152119504507E-3</v>
      </c>
      <c r="AN86" s="64">
        <f t="shared" si="24"/>
        <v>-4.1487462251602603E-3</v>
      </c>
      <c r="AO86" s="65">
        <f t="shared" si="24"/>
        <v>-8.4797306513095805E-4</v>
      </c>
      <c r="AP86" s="66">
        <v>-6.3151823984363593E-3</v>
      </c>
      <c r="AQ86" s="22"/>
      <c r="AR86" s="64">
        <v>1.0243860658591199E-2</v>
      </c>
      <c r="AS86" s="64">
        <v>-1.78057771954952E-3</v>
      </c>
      <c r="AT86" s="64">
        <v>4.2414776478683199E-2</v>
      </c>
      <c r="AU86" s="64">
        <v>-3.03903381005424E-2</v>
      </c>
      <c r="AV86" s="67"/>
      <c r="AW86" s="110">
        <v>1573.60682898502</v>
      </c>
    </row>
    <row r="87" spans="1:49" x14ac:dyDescent="0.25">
      <c r="A87" s="41"/>
      <c r="B87" s="41">
        <f t="shared" si="22"/>
        <v>4</v>
      </c>
      <c r="C87" s="101">
        <v>10874116.217</v>
      </c>
      <c r="D87" s="102"/>
      <c r="E87" s="102">
        <v>5298442.51</v>
      </c>
      <c r="F87" s="103">
        <v>7819707.9780000001</v>
      </c>
      <c r="G87" s="101">
        <v>3039579.3870000001</v>
      </c>
      <c r="I87" s="106">
        <v>1299410.9240000001</v>
      </c>
      <c r="J87" s="103">
        <v>1342646.7749999999</v>
      </c>
      <c r="K87" s="105">
        <v>1952481.1000000006</v>
      </c>
      <c r="M87" s="106">
        <v>1147127.2629999998</v>
      </c>
      <c r="N87" s="110">
        <v>1504384.1000000006</v>
      </c>
      <c r="O87" s="113">
        <v>1105720</v>
      </c>
      <c r="Q87" s="61">
        <v>1.8422168891331601E-2</v>
      </c>
      <c r="R87" s="62">
        <v>0.136152225664047</v>
      </c>
      <c r="S87" s="62">
        <v>1.5300193065195299E-3</v>
      </c>
      <c r="T87" s="22"/>
      <c r="U87" s="106">
        <v>1574.2755503292899</v>
      </c>
      <c r="V87" s="106">
        <v>1374.25369324194</v>
      </c>
      <c r="W87" s="106">
        <v>1559.5194390035099</v>
      </c>
      <c r="X87" s="22"/>
      <c r="Y87" s="64">
        <f t="shared" si="23"/>
        <v>1.3830560657426272E-3</v>
      </c>
      <c r="Z87" s="64">
        <f t="shared" si="23"/>
        <v>-2.8850013901793314E-3</v>
      </c>
      <c r="AA87" s="64">
        <f t="shared" si="23"/>
        <v>2.0342794850614077E-3</v>
      </c>
      <c r="AB87" s="22"/>
      <c r="AC87" s="106">
        <v>1576.1177672184299</v>
      </c>
      <c r="AD87" s="65">
        <f t="shared" si="25"/>
        <v>4.4934933181473014E-4</v>
      </c>
      <c r="AE87" s="66">
        <v>2.5242289488230697E-2</v>
      </c>
      <c r="AF87" s="64">
        <v>9.2902083145887909E-2</v>
      </c>
      <c r="AG87" s="64">
        <v>1.3197449034241899E-2</v>
      </c>
      <c r="AH87" s="22"/>
      <c r="AI87" s="106">
        <v>1573.5935382696</v>
      </c>
      <c r="AJ87" s="106">
        <v>1378.57870749376</v>
      </c>
      <c r="AK87" s="106">
        <v>1558.3526960307399</v>
      </c>
      <c r="AL87" s="22"/>
      <c r="AM87" s="64">
        <f t="shared" si="24"/>
        <v>4.52600365615341E-4</v>
      </c>
      <c r="AN87" s="64">
        <f t="shared" si="24"/>
        <v>5.3761220178845104E-3</v>
      </c>
      <c r="AO87" s="65">
        <f t="shared" si="24"/>
        <v>-1.0464692892730998E-4</v>
      </c>
      <c r="AP87" s="66">
        <v>3.1153287726530299E-2</v>
      </c>
      <c r="AQ87" s="22"/>
      <c r="AR87" s="64">
        <v>-6.9580763002978696E-3</v>
      </c>
      <c r="AS87" s="64">
        <v>-1.6480379754885898E-3</v>
      </c>
      <c r="AT87" s="64">
        <v>2.52952572552207E-2</v>
      </c>
      <c r="AU87" s="64">
        <v>-3.0605295580030001E-2</v>
      </c>
      <c r="AV87" s="67"/>
      <c r="AW87" s="110">
        <v>1573.04997995138</v>
      </c>
    </row>
    <row r="88" spans="1:49" x14ac:dyDescent="0.25">
      <c r="A88" s="41">
        <f t="shared" ref="A88" si="29">A84+1</f>
        <v>2021</v>
      </c>
      <c r="B88" s="41">
        <f t="shared" si="22"/>
        <v>1</v>
      </c>
      <c r="C88" s="101">
        <v>9257507.6999999993</v>
      </c>
      <c r="D88" s="102"/>
      <c r="E88" s="102">
        <v>3651359.3560000001</v>
      </c>
      <c r="F88" s="103">
        <v>5420561.7999999998</v>
      </c>
      <c r="G88" s="101">
        <v>3036869.7</v>
      </c>
      <c r="I88" s="106">
        <v>861972.10900000005</v>
      </c>
      <c r="J88" s="103">
        <v>888600.5</v>
      </c>
      <c r="K88" s="105">
        <v>2491019.7000000002</v>
      </c>
      <c r="M88" s="106">
        <v>1497801.9820000001</v>
      </c>
      <c r="N88" s="110">
        <v>1904450.1</v>
      </c>
      <c r="O88" s="113">
        <v>1135901</v>
      </c>
      <c r="Q88" s="61">
        <v>2.8500187411177599E-2</v>
      </c>
      <c r="R88" s="62">
        <v>0.14244441729718799</v>
      </c>
      <c r="S88" s="62">
        <v>4.9007304961219203E-3</v>
      </c>
      <c r="T88" s="22"/>
      <c r="U88" s="106">
        <v>1574.8044944696301</v>
      </c>
      <c r="V88" s="106">
        <v>1373.2507518755101</v>
      </c>
      <c r="W88" s="106">
        <v>1560.2923719826499</v>
      </c>
      <c r="X88" s="22"/>
      <c r="Y88" s="64">
        <f t="shared" si="23"/>
        <v>1.3613472498255064E-3</v>
      </c>
      <c r="Z88" s="64">
        <f t="shared" si="23"/>
        <v>-2.9022137042954421E-3</v>
      </c>
      <c r="AA88" s="64">
        <f t="shared" si="23"/>
        <v>2.0069260612816109E-3</v>
      </c>
      <c r="AB88" s="22"/>
      <c r="AC88" s="106">
        <v>1577.6545132107401</v>
      </c>
      <c r="AD88" s="65">
        <f t="shared" si="25"/>
        <v>8.5866169963373373E-3</v>
      </c>
      <c r="AE88" s="66">
        <v>3.4011067543057202E-2</v>
      </c>
      <c r="AF88" s="64">
        <v>8.1768013929982702E-2</v>
      </c>
      <c r="AG88" s="64">
        <v>1.99953256032347E-2</v>
      </c>
      <c r="AH88" s="22"/>
      <c r="AI88" s="106">
        <v>1574.25340645644</v>
      </c>
      <c r="AJ88" s="106">
        <v>1379.31839221223</v>
      </c>
      <c r="AK88" s="106">
        <v>1558.7829124719301</v>
      </c>
      <c r="AL88" s="22"/>
      <c r="AM88" s="64">
        <f t="shared" si="24"/>
        <v>2.393668162776974E-3</v>
      </c>
      <c r="AN88" s="64">
        <f t="shared" si="24"/>
        <v>9.5899477555365653E-3</v>
      </c>
      <c r="AO88" s="65">
        <f t="shared" si="24"/>
        <v>1.5476952433979285E-3</v>
      </c>
      <c r="AP88" s="66">
        <v>3.9796279868621401E-2</v>
      </c>
      <c r="AQ88" s="22"/>
      <c r="AR88" s="64">
        <v>-3.73690748676214E-3</v>
      </c>
      <c r="AS88" s="64">
        <v>-1.4347488109890099E-3</v>
      </c>
      <c r="AT88" s="64">
        <v>2.91796074601571E-2</v>
      </c>
      <c r="AU88" s="64">
        <v>-3.1481766135930199E-2</v>
      </c>
      <c r="AV88" s="67"/>
      <c r="AW88" s="110">
        <v>1573.75203228838</v>
      </c>
    </row>
    <row r="89" spans="1:49" x14ac:dyDescent="0.25">
      <c r="A89" s="41"/>
      <c r="B89" s="41">
        <f t="shared" si="22"/>
        <v>2</v>
      </c>
      <c r="C89" s="101">
        <v>10599604.699999999</v>
      </c>
      <c r="D89" s="102"/>
      <c r="E89" s="102"/>
      <c r="F89" s="103">
        <v>7133813.2000000002</v>
      </c>
      <c r="G89" s="101">
        <v>1962116.4</v>
      </c>
      <c r="J89" s="103">
        <v>725274.1</v>
      </c>
      <c r="K89" s="105">
        <v>4061805.0999999996</v>
      </c>
      <c r="N89" s="110">
        <v>2882159.4</v>
      </c>
      <c r="O89" s="113">
        <v>1127111</v>
      </c>
      <c r="Q89" s="61">
        <v>-5.1410254186941902E-2</v>
      </c>
      <c r="R89" s="62">
        <v>-2.1910033635049301E-3</v>
      </c>
      <c r="S89" s="62">
        <v>-5.40221338034143E-2</v>
      </c>
      <c r="T89" s="22"/>
      <c r="U89" s="106">
        <v>1575.33689271004</v>
      </c>
      <c r="V89" s="106">
        <v>1372.2540870815001</v>
      </c>
      <c r="W89" s="106">
        <v>1561.0678992696901</v>
      </c>
      <c r="X89" s="22"/>
      <c r="Y89" s="64">
        <f t="shared" si="23"/>
        <v>1.3524723801885408E-3</v>
      </c>
      <c r="Z89" s="64">
        <f t="shared" si="23"/>
        <v>-2.9053786165940121E-3</v>
      </c>
      <c r="AA89" s="64">
        <f t="shared" si="23"/>
        <v>1.9936301027654313E-3</v>
      </c>
      <c r="AB89" s="22"/>
      <c r="AC89" s="106">
        <v>1570.1958672913499</v>
      </c>
      <c r="AD89" s="65">
        <f t="shared" si="25"/>
        <v>7.5960267085561917E-4</v>
      </c>
      <c r="AE89" s="66">
        <v>-2.8664335832143201E-2</v>
      </c>
      <c r="AF89" s="64">
        <v>-2.6080819091321601E-2</v>
      </c>
      <c r="AG89" s="64">
        <v>-2.6129393986511099E-2</v>
      </c>
      <c r="AH89" s="22"/>
      <c r="AI89" s="106">
        <v>1573.0623008745599</v>
      </c>
      <c r="AJ89" s="106">
        <v>1374.6430686542799</v>
      </c>
      <c r="AK89" s="106">
        <v>1558.2786252880001</v>
      </c>
      <c r="AL89" s="22"/>
      <c r="AM89" s="64">
        <f t="shared" si="24"/>
        <v>1.189393321435972E-3</v>
      </c>
      <c r="AN89" s="64">
        <f t="shared" si="24"/>
        <v>4.9026312672131311E-3</v>
      </c>
      <c r="AO89" s="65">
        <f t="shared" si="24"/>
        <v>1.0166796708286352E-3</v>
      </c>
      <c r="AP89" s="66">
        <v>-4.0350064193624399E-2</v>
      </c>
      <c r="AQ89" s="22"/>
      <c r="AR89" s="64">
        <v>3.24974931610344E-3</v>
      </c>
      <c r="AS89" s="64">
        <v>-1.1655438412898E-3</v>
      </c>
      <c r="AT89" s="64">
        <v>3.6804834361667399E-2</v>
      </c>
      <c r="AU89" s="64">
        <v>-3.2389541204274203E-2</v>
      </c>
      <c r="AV89" s="67"/>
      <c r="AW89" s="110">
        <v>1574.3145384136501</v>
      </c>
    </row>
    <row r="90" spans="1:49" x14ac:dyDescent="0.25">
      <c r="A90" s="41"/>
      <c r="B90" s="41">
        <f t="shared" si="22"/>
        <v>3</v>
      </c>
      <c r="C90" s="101">
        <v>10068617.699999999</v>
      </c>
      <c r="D90" s="102"/>
      <c r="E90" s="102"/>
      <c r="F90" s="103">
        <v>6980592.2999999998</v>
      </c>
      <c r="G90" s="101">
        <v>2169693.4</v>
      </c>
      <c r="J90" s="103">
        <v>962806.8</v>
      </c>
      <c r="K90" s="105">
        <v>5644405.0000000009</v>
      </c>
      <c r="N90" s="110">
        <v>4223322.9000000004</v>
      </c>
      <c r="O90" s="113">
        <v>1128448</v>
      </c>
      <c r="Q90" s="61">
        <v>-3.6097742136289496E-2</v>
      </c>
      <c r="R90" s="62">
        <v>-3.1561338839144304E-2</v>
      </c>
      <c r="S90" s="62">
        <v>-3.6511867573462899E-2</v>
      </c>
      <c r="T90" s="22"/>
      <c r="U90" s="106">
        <v>1575.87952755629</v>
      </c>
      <c r="V90" s="106">
        <v>1371.2811749324001</v>
      </c>
      <c r="W90" s="106">
        <v>1561.8512151771499</v>
      </c>
      <c r="X90" s="22"/>
      <c r="Y90" s="64">
        <f t="shared" si="23"/>
        <v>1.3562987848649843E-3</v>
      </c>
      <c r="Z90" s="64">
        <f t="shared" si="23"/>
        <v>-2.88903866182455E-3</v>
      </c>
      <c r="AA90" s="64">
        <f t="shared" si="23"/>
        <v>1.9932730701752721E-3</v>
      </c>
      <c r="AB90" s="22"/>
      <c r="AC90" s="106">
        <v>1572.2697533426599</v>
      </c>
      <c r="AD90" s="65">
        <f t="shared" si="25"/>
        <v>-4.4727706892899732E-4</v>
      </c>
      <c r="AE90" s="66">
        <v>-8.9342026248681507E-3</v>
      </c>
      <c r="AF90" s="64">
        <v>2.88801880583974E-3</v>
      </c>
      <c r="AG90" s="64">
        <v>-8.95483754331124E-3</v>
      </c>
      <c r="AH90" s="22"/>
      <c r="AI90" s="106">
        <v>1573.16317360515</v>
      </c>
      <c r="AJ90" s="106">
        <v>1367.8362391679</v>
      </c>
      <c r="AK90" s="106">
        <v>1559.0955121741399</v>
      </c>
      <c r="AL90" s="22"/>
      <c r="AM90" s="64">
        <f t="shared" si="24"/>
        <v>5.2935926311703518E-4</v>
      </c>
      <c r="AN90" s="64">
        <f t="shared" si="24"/>
        <v>-4.0337287875142902E-3</v>
      </c>
      <c r="AO90" s="65">
        <f t="shared" si="24"/>
        <v>1.0348784400948663E-3</v>
      </c>
      <c r="AP90" s="66">
        <v>-3.2247364891332404E-2</v>
      </c>
      <c r="AQ90" s="22"/>
      <c r="AR90" s="64">
        <v>1.95975699512205E-2</v>
      </c>
      <c r="AS90" s="64">
        <v>-8.708166752595919E-4</v>
      </c>
      <c r="AT90" s="64">
        <v>5.4096343395903801E-2</v>
      </c>
      <c r="AU90" s="64">
        <v>-3.3627956769423699E-2</v>
      </c>
      <c r="AV90" s="67"/>
      <c r="AW90" s="110">
        <v>1575.5476300031701</v>
      </c>
    </row>
    <row r="91" spans="1:49" x14ac:dyDescent="0.25">
      <c r="A91" s="41"/>
      <c r="B91" s="41">
        <f t="shared" si="22"/>
        <v>4</v>
      </c>
      <c r="C91" s="101">
        <v>13629754.4</v>
      </c>
      <c r="D91" s="102"/>
      <c r="E91" s="102"/>
      <c r="F91" s="103">
        <v>7556696.5</v>
      </c>
      <c r="G91" s="101">
        <v>3585043.1</v>
      </c>
      <c r="J91" s="103">
        <v>1121182.5</v>
      </c>
      <c r="K91" s="105">
        <v>3795921.3999999985</v>
      </c>
      <c r="N91" s="110">
        <v>2847763.5999999996</v>
      </c>
      <c r="O91" s="113">
        <v>1164881</v>
      </c>
      <c r="Q91" s="61">
        <v>-3.9369675358161597E-2</v>
      </c>
      <c r="R91" s="62">
        <v>-1.0549915335022799E-2</v>
      </c>
      <c r="S91" s="62">
        <v>-3.7361500805989101E-2</v>
      </c>
      <c r="T91" s="22"/>
      <c r="U91" s="106">
        <v>1576.43596837322</v>
      </c>
      <c r="V91" s="106">
        <v>1370.3493545629799</v>
      </c>
      <c r="W91" s="106">
        <v>1562.64413763417</v>
      </c>
      <c r="X91" s="22"/>
      <c r="Y91" s="64">
        <f t="shared" si="23"/>
        <v>1.372325221895343E-3</v>
      </c>
      <c r="Z91" s="64">
        <f t="shared" si="23"/>
        <v>-2.8410610778492051E-3</v>
      </c>
      <c r="AA91" s="64">
        <f t="shared" si="23"/>
        <v>2.0036291645435522E-3</v>
      </c>
      <c r="AB91" s="22"/>
      <c r="AC91" s="106">
        <v>1572.4990008374</v>
      </c>
      <c r="AD91" s="65">
        <f t="shared" si="25"/>
        <v>-2.2959999920668661E-3</v>
      </c>
      <c r="AE91" s="66">
        <v>-9.1379120915438088E-3</v>
      </c>
      <c r="AF91" s="64">
        <v>7.35272258553063E-2</v>
      </c>
      <c r="AG91" s="64">
        <v>-1.4380654590537801E-2</v>
      </c>
      <c r="AH91" s="22"/>
      <c r="AI91" s="106">
        <v>1573.4127920465501</v>
      </c>
      <c r="AJ91" s="106">
        <v>1361.9416404439401</v>
      </c>
      <c r="AK91" s="106">
        <v>1560.3460530126199</v>
      </c>
      <c r="AL91" s="22"/>
      <c r="AM91" s="64">
        <f t="shared" si="24"/>
        <v>-1.1486207756594702E-4</v>
      </c>
      <c r="AN91" s="64">
        <f t="shared" si="24"/>
        <v>-1.2068275071552503E-2</v>
      </c>
      <c r="AO91" s="65">
        <f t="shared" si="24"/>
        <v>1.2791436668715406E-3</v>
      </c>
      <c r="AP91" s="66">
        <v>-3.4439077953162298E-2</v>
      </c>
      <c r="AQ91" s="22"/>
      <c r="AR91" s="64">
        <v>2.9976811625771198E-2</v>
      </c>
      <c r="AS91" s="64">
        <v>-5.8005051241561301E-4</v>
      </c>
      <c r="AT91" s="64">
        <v>6.4995609228787291E-2</v>
      </c>
      <c r="AU91" s="64">
        <v>-3.4438747090600498E-2</v>
      </c>
      <c r="AV91" s="67"/>
      <c r="AW91" s="110">
        <v>1576.0036088517199</v>
      </c>
    </row>
    <row r="92" spans="1:49" x14ac:dyDescent="0.25">
      <c r="A92" s="41">
        <f t="shared" ref="A92" si="30">A88+1</f>
        <v>2022</v>
      </c>
      <c r="B92" s="41">
        <f t="shared" si="22"/>
        <v>1</v>
      </c>
      <c r="C92" s="101">
        <v>9697605.1999999993</v>
      </c>
      <c r="D92" s="102"/>
      <c r="E92" s="102"/>
      <c r="F92" s="103">
        <v>5214062.5</v>
      </c>
      <c r="G92" s="101">
        <v>2471556.4</v>
      </c>
      <c r="J92" s="103">
        <v>543286.4</v>
      </c>
      <c r="K92" s="105">
        <v>3409300.8</v>
      </c>
      <c r="N92" s="110">
        <v>2501404.5</v>
      </c>
      <c r="O92" s="113">
        <v>1191456</v>
      </c>
      <c r="Q92" s="61">
        <v>-3.4000951943717099E-2</v>
      </c>
      <c r="R92" s="62">
        <v>-0.31454400735448401</v>
      </c>
      <c r="S92" s="62">
        <v>-4.9936119608446402E-4</v>
      </c>
      <c r="T92" s="22"/>
      <c r="U92" s="106">
        <v>1577.0075284167999</v>
      </c>
      <c r="V92" s="106">
        <v>1369.47399252434</v>
      </c>
      <c r="W92" s="106">
        <v>1563.44620257816</v>
      </c>
      <c r="X92" s="22"/>
      <c r="Y92" s="64">
        <f t="shared" si="23"/>
        <v>1.3989253617869846E-3</v>
      </c>
      <c r="Z92" s="64">
        <f t="shared" si="23"/>
        <v>-2.7502328660748976E-3</v>
      </c>
      <c r="AA92" s="64">
        <f t="shared" si="23"/>
        <v>2.0213074498995898E-3</v>
      </c>
      <c r="AB92" s="22"/>
      <c r="AC92" s="106">
        <v>1573.60743322243</v>
      </c>
      <c r="AD92" s="65">
        <f t="shared" si="25"/>
        <v>-2.5652511081616369E-3</v>
      </c>
      <c r="AE92" s="66">
        <v>-1.04600157096525E-2</v>
      </c>
      <c r="AF92" s="64">
        <v>-0.16757536246081201</v>
      </c>
      <c r="AG92" s="64">
        <v>8.17482968151537E-3</v>
      </c>
      <c r="AH92" s="22"/>
      <c r="AI92" s="106">
        <v>1574.6534347934</v>
      </c>
      <c r="AJ92" s="106">
        <v>1354.77712803497</v>
      </c>
      <c r="AK92" s="106">
        <v>1562.5787834903999</v>
      </c>
      <c r="AL92" s="22"/>
      <c r="AM92" s="64">
        <f t="shared" si="24"/>
        <v>2.5410669928960239E-4</v>
      </c>
      <c r="AN92" s="64">
        <f t="shared" si="24"/>
        <v>-1.7792312721864989E-2</v>
      </c>
      <c r="AO92" s="65">
        <f t="shared" si="24"/>
        <v>2.4351505190998157E-3</v>
      </c>
      <c r="AP92" s="66">
        <v>-3.4570149980120701E-2</v>
      </c>
      <c r="AQ92" s="22"/>
      <c r="AR92" s="64">
        <v>3.4311352876394897E-2</v>
      </c>
      <c r="AS92" s="64">
        <v>-3.1195694212913497E-4</v>
      </c>
      <c r="AT92" s="64">
        <v>6.9365244924676897E-2</v>
      </c>
      <c r="AU92" s="64">
        <v>-3.4741935106152796E-2</v>
      </c>
      <c r="AV92" s="67"/>
      <c r="AW92" s="110">
        <v>1577.1256168611501</v>
      </c>
    </row>
    <row r="93" spans="1:49" x14ac:dyDescent="0.25">
      <c r="A93" s="41"/>
      <c r="B93" s="41">
        <f t="shared" si="22"/>
        <v>2</v>
      </c>
      <c r="C93" s="101">
        <v>13654979.9</v>
      </c>
      <c r="D93" s="102"/>
      <c r="E93" s="102"/>
      <c r="F93" s="103">
        <v>7593802.7999999998</v>
      </c>
      <c r="G93" s="101">
        <v>2899035.9</v>
      </c>
      <c r="J93" s="103">
        <v>574517.30000000005</v>
      </c>
      <c r="K93" s="105">
        <v>6078412.2000000002</v>
      </c>
      <c r="N93" s="110">
        <v>4080120.9000000004</v>
      </c>
      <c r="O93" s="113">
        <v>1158244.6000000001</v>
      </c>
      <c r="Q93" s="61">
        <v>-9.0683293360302696E-3</v>
      </c>
      <c r="R93" s="62">
        <v>-0.18339229957734599</v>
      </c>
      <c r="S93" s="62">
        <v>7.4860816804698501E-3</v>
      </c>
      <c r="T93" s="22"/>
      <c r="U93" s="106">
        <v>1577.5930603383099</v>
      </c>
      <c r="V93" s="106">
        <v>1368.6697959978701</v>
      </c>
      <c r="W93" s="106">
        <v>1564.2546108527299</v>
      </c>
      <c r="X93" s="22"/>
      <c r="Y93" s="64">
        <f t="shared" si="23"/>
        <v>1.4321810393131962E-3</v>
      </c>
      <c r="Z93" s="64">
        <f t="shared" si="23"/>
        <v>-2.6119733345105756E-3</v>
      </c>
      <c r="AA93" s="64">
        <f t="shared" si="23"/>
        <v>2.0413664162401979E-3</v>
      </c>
      <c r="AB93" s="22"/>
      <c r="AC93" s="106">
        <v>1576.6862274047101</v>
      </c>
      <c r="AD93" s="65">
        <f t="shared" si="25"/>
        <v>4.1334716569827457E-3</v>
      </c>
      <c r="AE93" s="66">
        <v>1.93987202871953E-3</v>
      </c>
      <c r="AF93" s="64">
        <v>-5.9708546407225803E-2</v>
      </c>
      <c r="AG93" s="64">
        <v>5.4297523513880397E-3</v>
      </c>
      <c r="AH93" s="22"/>
      <c r="AI93" s="106">
        <v>1576.4922402018401</v>
      </c>
      <c r="AJ93" s="106">
        <v>1356.30142068086</v>
      </c>
      <c r="AK93" s="106">
        <v>1564.4602437856299</v>
      </c>
      <c r="AL93" s="22"/>
      <c r="AM93" s="64">
        <f t="shared" si="24"/>
        <v>2.1804217959919825E-3</v>
      </c>
      <c r="AN93" s="64">
        <f t="shared" si="24"/>
        <v>-1.3342843965579831E-2</v>
      </c>
      <c r="AO93" s="65">
        <f t="shared" si="24"/>
        <v>3.9669532760788773E-3</v>
      </c>
      <c r="AP93" s="66">
        <v>-1.6016216236038203E-2</v>
      </c>
      <c r="AQ93" s="22"/>
      <c r="AR93" s="64">
        <v>4.0667934684230599E-2</v>
      </c>
      <c r="AS93" s="64">
        <v>-7.6672373393347207E-5</v>
      </c>
      <c r="AT93" s="64">
        <v>7.5759409647741596E-2</v>
      </c>
      <c r="AU93" s="64">
        <v>-3.5014802590117501E-2</v>
      </c>
      <c r="AV93" s="67"/>
      <c r="AW93" s="110">
        <v>1578.3008136027499</v>
      </c>
    </row>
    <row r="94" spans="1:49" x14ac:dyDescent="0.25">
      <c r="A94" s="41"/>
      <c r="B94" s="41">
        <f t="shared" si="22"/>
        <v>3</v>
      </c>
      <c r="C94" s="101">
        <v>12556210</v>
      </c>
      <c r="D94" s="102"/>
      <c r="E94" s="102"/>
      <c r="F94" s="103">
        <v>7479047.0999999996</v>
      </c>
      <c r="G94" s="101">
        <v>2396143.6</v>
      </c>
      <c r="J94" s="103">
        <v>941038.9</v>
      </c>
      <c r="K94" s="105">
        <v>7074434</v>
      </c>
      <c r="N94" s="110">
        <v>3221678</v>
      </c>
      <c r="O94" s="113">
        <v>1111257.8</v>
      </c>
      <c r="Q94" s="61">
        <v>9.7461697434914601E-3</v>
      </c>
      <c r="R94" s="62">
        <v>-2.5491585309307497E-2</v>
      </c>
      <c r="S94" s="62">
        <v>1.5576438544906E-2</v>
      </c>
      <c r="T94" s="22"/>
      <c r="U94" s="106">
        <v>1578.1892917295099</v>
      </c>
      <c r="V94" s="106">
        <v>1367.9318131645</v>
      </c>
      <c r="W94" s="106">
        <v>1565.06653209142</v>
      </c>
      <c r="X94" s="22"/>
      <c r="Y94" s="64">
        <f t="shared" si="23"/>
        <v>1.4656984451100197E-3</v>
      </c>
      <c r="Z94" s="64">
        <f t="shared" si="23"/>
        <v>-2.4425054679724223E-3</v>
      </c>
      <c r="AA94" s="64">
        <f t="shared" si="23"/>
        <v>2.058657625659599E-3</v>
      </c>
      <c r="AB94" s="22"/>
      <c r="AC94" s="106">
        <v>1579.16390870386</v>
      </c>
      <c r="AD94" s="65">
        <f t="shared" si="25"/>
        <v>4.3848425796801926E-3</v>
      </c>
      <c r="AE94" s="66">
        <v>8.6612601744399994E-3</v>
      </c>
      <c r="AF94" s="64">
        <v>3.83258356567397E-2</v>
      </c>
      <c r="AG94" s="64">
        <v>6.75905001038007E-3</v>
      </c>
      <c r="AH94" s="22"/>
      <c r="AI94" s="106">
        <v>1578.2977826864201</v>
      </c>
      <c r="AJ94" s="106">
        <v>1361.5500710679</v>
      </c>
      <c r="AK94" s="106">
        <v>1565.9482709448801</v>
      </c>
      <c r="AL94" s="22"/>
      <c r="AM94" s="64">
        <f t="shared" si="24"/>
        <v>3.2638757170391219E-3</v>
      </c>
      <c r="AN94" s="64">
        <f t="shared" si="24"/>
        <v>-4.5957022631774036E-3</v>
      </c>
      <c r="AO94" s="65">
        <f t="shared" si="24"/>
        <v>4.3953425029004123E-3</v>
      </c>
      <c r="AP94" s="66">
        <v>4.8827676626842396E-3</v>
      </c>
      <c r="AQ94" s="22"/>
      <c r="AR94" s="64">
        <v>3.1786639889531898E-2</v>
      </c>
      <c r="AS94" s="64">
        <v>1.2300536789486101E-4</v>
      </c>
      <c r="AT94" s="64">
        <v>6.6021517801052892E-2</v>
      </c>
      <c r="AU94" s="64">
        <v>-3.4357883279415802E-2</v>
      </c>
      <c r="AV94" s="67"/>
      <c r="AW94" s="110">
        <v>1578.6768201423499</v>
      </c>
    </row>
    <row r="95" spans="1:49" x14ac:dyDescent="0.25">
      <c r="A95" s="41"/>
      <c r="B95" s="41">
        <f t="shared" si="22"/>
        <v>4</v>
      </c>
      <c r="C95" s="101">
        <v>17942749.300000001</v>
      </c>
      <c r="D95" s="102"/>
      <c r="E95" s="102"/>
      <c r="F95" s="103">
        <v>8168196.2000000002</v>
      </c>
      <c r="G95" s="101">
        <v>4635733</v>
      </c>
      <c r="J95" s="103">
        <v>1074354.8999999999</v>
      </c>
      <c r="K95" s="105">
        <v>6234342.6999999993</v>
      </c>
      <c r="N95" s="110">
        <v>3379291.1999999993</v>
      </c>
      <c r="O95" s="113">
        <v>1160293.7</v>
      </c>
      <c r="Q95" s="61">
        <v>1.4074269854259001E-2</v>
      </c>
      <c r="R95" s="62">
        <v>-2.4953867012040897E-2</v>
      </c>
      <c r="S95" s="62">
        <v>2.6066904403821801E-2</v>
      </c>
      <c r="T95" s="22"/>
      <c r="U95" s="106">
        <v>1578.79238341158</v>
      </c>
      <c r="V95" s="106">
        <v>1367.24363018644</v>
      </c>
      <c r="W95" s="106">
        <v>1565.8796038078899</v>
      </c>
      <c r="X95" s="22"/>
      <c r="Y95" s="64">
        <f t="shared" si="23"/>
        <v>1.4947737083108592E-3</v>
      </c>
      <c r="Z95" s="64">
        <f t="shared" si="23"/>
        <v>-2.2663741667031667E-3</v>
      </c>
      <c r="AA95" s="64">
        <f t="shared" si="23"/>
        <v>2.0705073508409111E-3</v>
      </c>
      <c r="AB95" s="22"/>
      <c r="AC95" s="106">
        <v>1580.19981039701</v>
      </c>
      <c r="AD95" s="65">
        <f t="shared" si="25"/>
        <v>4.8971793021865828E-3</v>
      </c>
      <c r="AE95" s="66">
        <v>4.8733248340063302E-3</v>
      </c>
      <c r="AF95" s="64">
        <v>-2.8224172187376498E-2</v>
      </c>
      <c r="AG95" s="64">
        <v>1.54933815177362E-2</v>
      </c>
      <c r="AH95" s="22"/>
      <c r="AI95" s="106">
        <v>1579.71247791361</v>
      </c>
      <c r="AJ95" s="106">
        <v>1367.5706607039799</v>
      </c>
      <c r="AK95" s="106">
        <v>1566.9369560964999</v>
      </c>
      <c r="AL95" s="22"/>
      <c r="AM95" s="64">
        <f t="shared" si="24"/>
        <v>4.0038354199891657E-3</v>
      </c>
      <c r="AN95" s="64">
        <f t="shared" si="24"/>
        <v>4.1330847760885359E-3</v>
      </c>
      <c r="AO95" s="65">
        <f t="shared" si="24"/>
        <v>4.2240008690088704E-3</v>
      </c>
      <c r="AP95" s="66">
        <v>7.7940663294777304E-3</v>
      </c>
      <c r="AQ95" s="22"/>
      <c r="AR95" s="64">
        <v>3.4789646486856597E-2</v>
      </c>
      <c r="AS95" s="64">
        <v>2.8889352938394101E-4</v>
      </c>
      <c r="AT95" s="64">
        <v>6.8895311928864097E-2</v>
      </c>
      <c r="AU95" s="64">
        <v>-3.4394558971391404E-2</v>
      </c>
      <c r="AV95" s="67"/>
      <c r="AW95" s="110">
        <v>1579.42342544692</v>
      </c>
    </row>
    <row r="96" spans="1:49" x14ac:dyDescent="0.25">
      <c r="A96" s="41">
        <f t="shared" ref="A96" si="31">A92+1</f>
        <v>2023</v>
      </c>
      <c r="B96" s="41">
        <f t="shared" si="22"/>
        <v>1</v>
      </c>
      <c r="C96" s="101">
        <v>13781581.1</v>
      </c>
      <c r="D96" s="102"/>
      <c r="E96" s="102"/>
      <c r="F96" s="103">
        <v>5624020.0999999996</v>
      </c>
      <c r="G96" s="101">
        <v>5061916.0999999996</v>
      </c>
      <c r="J96" s="103">
        <v>813722.9</v>
      </c>
      <c r="K96" s="105">
        <v>3461864.4</v>
      </c>
      <c r="N96" s="110">
        <v>2090767.7</v>
      </c>
      <c r="O96" s="113">
        <v>1190062.6000000001</v>
      </c>
      <c r="Q96" s="61">
        <v>1.71288802152776E-2</v>
      </c>
      <c r="R96" s="62">
        <v>0.11744901902600301</v>
      </c>
      <c r="S96" s="62">
        <v>-3.87142382087176E-3</v>
      </c>
      <c r="T96" s="22"/>
      <c r="U96" s="106">
        <v>1579.3991053413199</v>
      </c>
      <c r="V96" s="106">
        <v>1366.58724000182</v>
      </c>
      <c r="W96" s="106">
        <v>1566.69243704318</v>
      </c>
      <c r="X96" s="22"/>
      <c r="Y96" s="64">
        <f t="shared" si="23"/>
        <v>1.5165285399245665E-3</v>
      </c>
      <c r="Z96" s="64">
        <f t="shared" si="23"/>
        <v>-2.1079279623258396E-3</v>
      </c>
      <c r="AA96" s="64">
        <f t="shared" si="23"/>
        <v>2.0763326935502313E-3</v>
      </c>
      <c r="AB96" s="22"/>
      <c r="AC96" s="106">
        <v>1581.1119933628499</v>
      </c>
      <c r="AD96" s="65">
        <f t="shared" si="25"/>
        <v>4.7690167077134582E-3</v>
      </c>
      <c r="AE96" s="66">
        <v>4.4816333740523798E-3</v>
      </c>
      <c r="AF96" s="64">
        <v>4.1107212627733203E-2</v>
      </c>
      <c r="AG96" s="64">
        <v>-7.28985684671642E-3</v>
      </c>
      <c r="AH96" s="22"/>
      <c r="AI96" s="106">
        <v>1580.6638300254499</v>
      </c>
      <c r="AJ96" s="106">
        <v>1374.22142064165</v>
      </c>
      <c r="AK96" s="106">
        <v>1567.03428034577</v>
      </c>
      <c r="AL96" s="22"/>
      <c r="AM96" s="64">
        <f t="shared" si="24"/>
        <v>3.8169638469296441E-3</v>
      </c>
      <c r="AN96" s="64">
        <f t="shared" si="24"/>
        <v>1.4352392142080728E-2</v>
      </c>
      <c r="AO96" s="65">
        <f t="shared" si="24"/>
        <v>2.8513742170603873E-3</v>
      </c>
      <c r="AP96" s="66">
        <v>1.24709702978444E-2</v>
      </c>
      <c r="AQ96" s="22"/>
      <c r="AR96" s="64">
        <v>2.7850693542737802E-2</v>
      </c>
      <c r="AS96" s="64">
        <v>4.2038423002943299E-4</v>
      </c>
      <c r="AT96" s="64">
        <v>6.1394903442742302E-2</v>
      </c>
      <c r="AU96" s="64">
        <v>-3.3964594130033901E-2</v>
      </c>
      <c r="AV96" s="67"/>
      <c r="AW96" s="110">
        <v>1579.87260853518</v>
      </c>
    </row>
    <row r="97" spans="1:49" x14ac:dyDescent="0.25">
      <c r="A97" s="41"/>
      <c r="B97" s="41">
        <f t="shared" si="22"/>
        <v>2</v>
      </c>
      <c r="C97" s="101">
        <v>16714254.800000001</v>
      </c>
      <c r="D97" s="102"/>
      <c r="E97" s="102"/>
      <c r="F97" s="103">
        <v>8006796.5999999996</v>
      </c>
      <c r="G97" s="101">
        <v>4036995.7</v>
      </c>
      <c r="J97" s="103">
        <v>809708.9</v>
      </c>
      <c r="K97" s="105">
        <v>4645256.6999999993</v>
      </c>
      <c r="N97" s="110">
        <v>2576006</v>
      </c>
      <c r="O97" s="113">
        <v>1231191.5</v>
      </c>
      <c r="Q97" s="61">
        <v>2.0477541226596202E-2</v>
      </c>
      <c r="R97" s="62">
        <v>0.195617837965639</v>
      </c>
      <c r="S97" s="62">
        <v>2.7862524368629198E-5</v>
      </c>
      <c r="T97" s="22"/>
      <c r="U97" s="106">
        <v>1580.00710711739</v>
      </c>
      <c r="V97" s="106">
        <v>1365.9430759320701</v>
      </c>
      <c r="W97" s="106">
        <v>1567.5052720198801</v>
      </c>
      <c r="X97" s="22"/>
      <c r="Y97" s="64">
        <f t="shared" si="23"/>
        <v>1.5302087970407996E-3</v>
      </c>
      <c r="Z97" s="64">
        <f t="shared" si="23"/>
        <v>-1.9922409873975866E-3</v>
      </c>
      <c r="AA97" s="64">
        <f t="shared" si="23"/>
        <v>2.0780895543457412E-3</v>
      </c>
      <c r="AB97" s="22"/>
      <c r="AC97" s="106">
        <v>1582.0548612400501</v>
      </c>
      <c r="AD97" s="65">
        <f t="shared" si="25"/>
        <v>3.4050109286341002E-3</v>
      </c>
      <c r="AE97" s="66">
        <v>8.2614326598114789E-3</v>
      </c>
      <c r="AF97" s="64">
        <v>7.6313800921114006E-2</v>
      </c>
      <c r="AG97" s="64">
        <v>1.8776906396613599E-3</v>
      </c>
      <c r="AH97" s="22"/>
      <c r="AI97" s="106">
        <v>1581.2287179740699</v>
      </c>
      <c r="AJ97" s="106">
        <v>1377.87347963652</v>
      </c>
      <c r="AK97" s="106">
        <v>1567.32028920835</v>
      </c>
      <c r="AL97" s="22"/>
      <c r="AM97" s="64">
        <f t="shared" si="24"/>
        <v>3.0044409045890674E-3</v>
      </c>
      <c r="AN97" s="64">
        <f t="shared" si="24"/>
        <v>1.5905062567014738E-2</v>
      </c>
      <c r="AO97" s="65">
        <f t="shared" si="24"/>
        <v>1.8281355720484171E-3</v>
      </c>
      <c r="AP97" s="66">
        <v>2.2315647837708102E-2</v>
      </c>
      <c r="AQ97" s="22"/>
      <c r="AR97" s="64">
        <v>1.55904618934148E-2</v>
      </c>
      <c r="AS97" s="64">
        <v>5.1616203045554501E-4</v>
      </c>
      <c r="AT97" s="64">
        <v>4.8468217949496205E-2</v>
      </c>
      <c r="AU97" s="64">
        <v>-3.3393918086536897E-2</v>
      </c>
      <c r="AV97" s="67"/>
      <c r="AW97" s="110">
        <v>1579.8478315234099</v>
      </c>
    </row>
    <row r="98" spans="1:49" x14ac:dyDescent="0.25">
      <c r="A98" s="41"/>
      <c r="B98" s="41">
        <f t="shared" si="22"/>
        <v>3</v>
      </c>
    </row>
    <row r="99" spans="1:49" x14ac:dyDescent="0.25">
      <c r="A99" s="41"/>
      <c r="B99" s="41">
        <f t="shared" si="22"/>
        <v>4</v>
      </c>
    </row>
    <row r="100" spans="1:49" x14ac:dyDescent="0.25">
      <c r="A100" s="41">
        <f t="shared" ref="A100" si="32">A96+1</f>
        <v>2024</v>
      </c>
      <c r="B100" s="41">
        <f t="shared" si="22"/>
        <v>1</v>
      </c>
    </row>
    <row r="101" spans="1:49" x14ac:dyDescent="0.25">
      <c r="A101" s="41"/>
      <c r="B101" s="41">
        <f t="shared" si="22"/>
        <v>2</v>
      </c>
    </row>
    <row r="102" spans="1:49" x14ac:dyDescent="0.25">
      <c r="A102" s="41"/>
      <c r="B102" s="41">
        <f t="shared" si="22"/>
        <v>3</v>
      </c>
    </row>
    <row r="103" spans="1:49" x14ac:dyDescent="0.25">
      <c r="A103" s="41"/>
      <c r="B103" s="41">
        <f t="shared" si="22"/>
        <v>4</v>
      </c>
    </row>
    <row r="104" spans="1:49" x14ac:dyDescent="0.25">
      <c r="A104" s="41">
        <f t="shared" ref="A104" si="33">A100+1</f>
        <v>2025</v>
      </c>
      <c r="B104" s="41">
        <f t="shared" si="22"/>
        <v>1</v>
      </c>
    </row>
    <row r="105" spans="1:49" x14ac:dyDescent="0.25">
      <c r="A105" s="41"/>
      <c r="B105" s="41">
        <f t="shared" si="22"/>
        <v>2</v>
      </c>
    </row>
    <row r="106" spans="1:49" x14ac:dyDescent="0.25">
      <c r="A106" s="41"/>
      <c r="B106" s="41">
        <f t="shared" si="22"/>
        <v>3</v>
      </c>
    </row>
    <row r="107" spans="1:49" x14ac:dyDescent="0.25">
      <c r="A107" s="41"/>
      <c r="B107" s="41">
        <f t="shared" si="22"/>
        <v>4</v>
      </c>
    </row>
  </sheetData>
  <mergeCells count="6">
    <mergeCell ref="C2:F2"/>
    <mergeCell ref="G2:J2"/>
    <mergeCell ref="K2:N2"/>
    <mergeCell ref="Q2:AD2"/>
    <mergeCell ref="AE2:AO2"/>
    <mergeCell ref="AP2:AW2"/>
  </mergeCells>
  <hyperlinks>
    <hyperlink ref="BB4" r:id="rId1" xr:uid="{2BC0BDE8-13B6-4BD7-9D54-9922E3A261F9}"/>
    <hyperlink ref="BB10" r:id="rId2" xr:uid="{C81D3D1A-2FCD-45C9-A552-5CA079F32337}"/>
    <hyperlink ref="BB9" r:id="rId3" xr:uid="{7D9A778F-9181-47B5-A328-2269982F9315}"/>
    <hyperlink ref="BB8" r:id="rId4" xr:uid="{DBF59C36-FBF7-403B-AB7A-AB5E147C3616}"/>
    <hyperlink ref="BB7" r:id="rId5" xr:uid="{47B72CD0-1130-44C1-A615-2A72697DF641}"/>
    <hyperlink ref="BB6" r:id="rId6" xr:uid="{2A35A86B-7A32-441C-B34F-94DFEB6DB677}"/>
    <hyperlink ref="BB5" r:id="rId7" xr:uid="{3DC90CDD-CC7A-4B43-8E7B-9427F4084220}"/>
    <hyperlink ref="BB11" r:id="rId8" xr:uid="{0CA381CC-F925-481C-B0E3-23D6CF729ED4}"/>
    <hyperlink ref="BB12" r:id="rId9" xr:uid="{3A344A53-25B2-427F-8931-E70D0FF9CDDD}"/>
    <hyperlink ref="BB13" r:id="rId10" xr:uid="{21EB1367-BBC6-422D-8BDA-685353B1BF0A}"/>
    <hyperlink ref="BB14" r:id="rId11" xr:uid="{74060013-6894-437D-9420-CC9DA893C544}"/>
    <hyperlink ref="BB15" r:id="rId12" xr:uid="{BB35B43A-3DB5-4581-88E0-A10D69B36290}"/>
    <hyperlink ref="BB16" r:id="rId13" xr:uid="{06C9C9C5-4352-47F3-891D-C37C064E33AB}"/>
    <hyperlink ref="BB17" r:id="rId14" xr:uid="{271B9051-5FE5-4C4E-9543-A0B9DD2CDF5E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Month</vt:lpstr>
      <vt:lpstr>Monthly activity indicator</vt:lpstr>
      <vt:lpstr>Quarter</vt:lpstr>
      <vt:lpstr>Output gap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Khosbayar Erdenebileg</dc:creator>
  <cp:lastModifiedBy>SSG Khosbayar E</cp:lastModifiedBy>
  <dcterms:created xsi:type="dcterms:W3CDTF">2025-10-10T03:23:40Z</dcterms:created>
  <dcterms:modified xsi:type="dcterms:W3CDTF">2025-12-18T09:22:07Z</dcterms:modified>
</cp:coreProperties>
</file>